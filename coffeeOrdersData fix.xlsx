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ukti Prabowo\Downloads\"/>
    </mc:Choice>
  </mc:AlternateContent>
  <xr:revisionPtr revIDLastSave="0" documentId="13_ncr:1_{36DB7B03-C6BB-45FB-9579-6F3C76AFA6C9}" xr6:coauthVersionLast="47" xr6:coauthVersionMax="47" xr10:uidLastSave="{00000000-0000-0000-0000-000000000000}"/>
  <bookViews>
    <workbookView xWindow="-108" yWindow="-108" windowWidth="23256" windowHeight="12456" activeTab="3" xr2:uid="{00000000-000D-0000-FFFF-FFFF00000000}"/>
  </bookViews>
  <sheets>
    <sheet name="Total Sales" sheetId="18" r:id="rId1"/>
    <sheet name="Sales By Country" sheetId="19" r:id="rId2"/>
    <sheet name="Top 5 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2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I2" i="17"/>
  <c r="O359" i="17"/>
  <c r="O408" i="17"/>
  <c r="O764" i="17"/>
  <c r="N49" i="17"/>
  <c r="N321" i="17"/>
  <c r="N353" i="17"/>
  <c r="N485" i="17"/>
  <c r="N613" i="17"/>
  <c r="N741" i="17"/>
  <c r="N869" i="17"/>
  <c r="N997" i="17"/>
  <c r="N2" i="17"/>
  <c r="M66" i="17"/>
  <c r="M79" i="17"/>
  <c r="M157" i="17"/>
  <c r="M162" i="17"/>
  <c r="M217" i="17"/>
  <c r="M219" i="17"/>
  <c r="M233" i="17"/>
  <c r="M235" i="17"/>
  <c r="M249" i="17"/>
  <c r="M251" i="17"/>
  <c r="M265" i="17"/>
  <c r="M267" i="17"/>
  <c r="M281" i="17"/>
  <c r="M283" i="17"/>
  <c r="M297" i="17"/>
  <c r="M299" i="17"/>
  <c r="M313" i="17"/>
  <c r="M315" i="17"/>
  <c r="M329" i="17"/>
  <c r="M331" i="17"/>
  <c r="M345" i="17"/>
  <c r="M347" i="17"/>
  <c r="M361" i="17"/>
  <c r="M363" i="17"/>
  <c r="M377" i="17"/>
  <c r="M379" i="17"/>
  <c r="M393" i="17"/>
  <c r="M395" i="17"/>
  <c r="M409" i="17"/>
  <c r="M411" i="17"/>
  <c r="M425" i="17"/>
  <c r="M427" i="17"/>
  <c r="M441" i="17"/>
  <c r="M443" i="17"/>
  <c r="M457" i="17"/>
  <c r="M459" i="17"/>
  <c r="M473" i="17"/>
  <c r="M475" i="17"/>
  <c r="M491" i="17"/>
  <c r="M507" i="17"/>
  <c r="M523" i="17"/>
  <c r="M539" i="17"/>
  <c r="M555" i="17"/>
  <c r="M571" i="17"/>
  <c r="M587" i="17"/>
  <c r="M603" i="17"/>
  <c r="M619" i="17"/>
  <c r="M635" i="17"/>
  <c r="M651" i="17"/>
  <c r="M667" i="17"/>
  <c r="M683" i="17"/>
  <c r="M699" i="17"/>
  <c r="M715" i="17"/>
  <c r="M731" i="17"/>
  <c r="M747" i="17"/>
  <c r="M763" i="17"/>
  <c r="M779" i="17"/>
  <c r="M795" i="17"/>
  <c r="M811" i="17"/>
  <c r="M827" i="17"/>
  <c r="M843" i="17"/>
  <c r="M859" i="17"/>
  <c r="M875" i="17"/>
  <c r="M891" i="17"/>
  <c r="M907" i="17"/>
  <c r="M923" i="17"/>
  <c r="M939" i="17"/>
  <c r="M955" i="17"/>
  <c r="M971" i="17"/>
  <c r="M987"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I218" i="17"/>
  <c r="N218" i="17" s="1"/>
  <c r="J218" i="17"/>
  <c r="O218" i="17" s="1"/>
  <c r="K218" i="17"/>
  <c r="L218" i="17"/>
  <c r="M218" i="17" s="1"/>
  <c r="I219" i="17"/>
  <c r="N219" i="17" s="1"/>
  <c r="J219" i="17"/>
  <c r="O219" i="17" s="1"/>
  <c r="K219" i="17"/>
  <c r="L219" i="17"/>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I234" i="17"/>
  <c r="N234" i="17" s="1"/>
  <c r="J234" i="17"/>
  <c r="O234" i="17" s="1"/>
  <c r="K234" i="17"/>
  <c r="L234" i="17"/>
  <c r="M234" i="17" s="1"/>
  <c r="I235" i="17"/>
  <c r="N235" i="17" s="1"/>
  <c r="J235" i="17"/>
  <c r="O235" i="17" s="1"/>
  <c r="K235" i="17"/>
  <c r="L235" i="17"/>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I250" i="17"/>
  <c r="N250" i="17" s="1"/>
  <c r="J250" i="17"/>
  <c r="O250" i="17" s="1"/>
  <c r="K250" i="17"/>
  <c r="L250" i="17"/>
  <c r="M250" i="17" s="1"/>
  <c r="I251" i="17"/>
  <c r="N251" i="17" s="1"/>
  <c r="J251" i="17"/>
  <c r="O251" i="17" s="1"/>
  <c r="K251" i="17"/>
  <c r="L251" i="17"/>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I266" i="17"/>
  <c r="N266" i="17" s="1"/>
  <c r="J266" i="17"/>
  <c r="O266" i="17" s="1"/>
  <c r="K266" i="17"/>
  <c r="L266" i="17"/>
  <c r="M266" i="17" s="1"/>
  <c r="I267" i="17"/>
  <c r="N267" i="17" s="1"/>
  <c r="J267" i="17"/>
  <c r="O267" i="17" s="1"/>
  <c r="K267" i="17"/>
  <c r="L267" i="17"/>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I282" i="17"/>
  <c r="N282" i="17" s="1"/>
  <c r="J282" i="17"/>
  <c r="O282" i="17" s="1"/>
  <c r="K282" i="17"/>
  <c r="L282" i="17"/>
  <c r="M282" i="17" s="1"/>
  <c r="I283" i="17"/>
  <c r="N283" i="17" s="1"/>
  <c r="J283" i="17"/>
  <c r="O283" i="17" s="1"/>
  <c r="K283" i="17"/>
  <c r="L283" i="17"/>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I298" i="17"/>
  <c r="N298" i="17" s="1"/>
  <c r="J298" i="17"/>
  <c r="O298" i="17" s="1"/>
  <c r="K298" i="17"/>
  <c r="L298" i="17"/>
  <c r="M298" i="17" s="1"/>
  <c r="I299" i="17"/>
  <c r="N299" i="17" s="1"/>
  <c r="J299" i="17"/>
  <c r="O299" i="17" s="1"/>
  <c r="K299" i="17"/>
  <c r="L299" i="17"/>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I314" i="17"/>
  <c r="N314" i="17" s="1"/>
  <c r="J314" i="17"/>
  <c r="O314" i="17" s="1"/>
  <c r="K314" i="17"/>
  <c r="L314" i="17"/>
  <c r="M314" i="17" s="1"/>
  <c r="I315" i="17"/>
  <c r="N315" i="17" s="1"/>
  <c r="J315" i="17"/>
  <c r="O315" i="17" s="1"/>
  <c r="K315" i="17"/>
  <c r="L315" i="17"/>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I330" i="17"/>
  <c r="N330" i="17" s="1"/>
  <c r="J330" i="17"/>
  <c r="O330" i="17" s="1"/>
  <c r="K330" i="17"/>
  <c r="L330" i="17"/>
  <c r="M330" i="17" s="1"/>
  <c r="I331" i="17"/>
  <c r="N331" i="17" s="1"/>
  <c r="J331" i="17"/>
  <c r="O331" i="17" s="1"/>
  <c r="K331" i="17"/>
  <c r="L331" i="17"/>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I346" i="17"/>
  <c r="N346" i="17" s="1"/>
  <c r="J346" i="17"/>
  <c r="O346" i="17" s="1"/>
  <c r="K346" i="17"/>
  <c r="L346" i="17"/>
  <c r="M346" i="17" s="1"/>
  <c r="I347" i="17"/>
  <c r="N347" i="17" s="1"/>
  <c r="J347" i="17"/>
  <c r="O347" i="17" s="1"/>
  <c r="K347" i="17"/>
  <c r="L347" i="17"/>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K359" i="17"/>
  <c r="L359" i="17"/>
  <c r="M359" i="17" s="1"/>
  <c r="I360" i="17"/>
  <c r="N360" i="17" s="1"/>
  <c r="J360" i="17"/>
  <c r="O360" i="17" s="1"/>
  <c r="K360" i="17"/>
  <c r="L360" i="17"/>
  <c r="M360" i="17" s="1"/>
  <c r="I361" i="17"/>
  <c r="N361" i="17" s="1"/>
  <c r="J361" i="17"/>
  <c r="O361" i="17" s="1"/>
  <c r="K361" i="17"/>
  <c r="L361" i="17"/>
  <c r="I362" i="17"/>
  <c r="N362" i="17" s="1"/>
  <c r="J362" i="17"/>
  <c r="O362" i="17" s="1"/>
  <c r="K362" i="17"/>
  <c r="L362" i="17"/>
  <c r="M362" i="17" s="1"/>
  <c r="I363" i="17"/>
  <c r="N363" i="17" s="1"/>
  <c r="J363" i="17"/>
  <c r="O363" i="17" s="1"/>
  <c r="K363" i="17"/>
  <c r="L363" i="17"/>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I378" i="17"/>
  <c r="N378" i="17" s="1"/>
  <c r="J378" i="17"/>
  <c r="O378" i="17" s="1"/>
  <c r="K378" i="17"/>
  <c r="L378" i="17"/>
  <c r="M378" i="17" s="1"/>
  <c r="I379" i="17"/>
  <c r="N379" i="17" s="1"/>
  <c r="J379" i="17"/>
  <c r="O379" i="17" s="1"/>
  <c r="K379" i="17"/>
  <c r="L379" i="17"/>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I394" i="17"/>
  <c r="N394" i="17" s="1"/>
  <c r="J394" i="17"/>
  <c r="O394" i="17" s="1"/>
  <c r="K394" i="17"/>
  <c r="L394" i="17"/>
  <c r="M394" i="17" s="1"/>
  <c r="I395" i="17"/>
  <c r="N395" i="17" s="1"/>
  <c r="J395" i="17"/>
  <c r="O395" i="17" s="1"/>
  <c r="K395" i="17"/>
  <c r="L395" i="17"/>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K408" i="17"/>
  <c r="L408" i="17"/>
  <c r="M408" i="17" s="1"/>
  <c r="I409" i="17"/>
  <c r="N409" i="17" s="1"/>
  <c r="J409" i="17"/>
  <c r="O409" i="17" s="1"/>
  <c r="K409" i="17"/>
  <c r="L409" i="17"/>
  <c r="I410" i="17"/>
  <c r="N410" i="17" s="1"/>
  <c r="J410" i="17"/>
  <c r="O410" i="17" s="1"/>
  <c r="K410" i="17"/>
  <c r="L410" i="17"/>
  <c r="M410" i="17" s="1"/>
  <c r="I411" i="17"/>
  <c r="N411" i="17" s="1"/>
  <c r="J411" i="17"/>
  <c r="O411" i="17" s="1"/>
  <c r="K411" i="17"/>
  <c r="L411" i="17"/>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I426" i="17"/>
  <c r="N426" i="17" s="1"/>
  <c r="J426" i="17"/>
  <c r="O426" i="17" s="1"/>
  <c r="K426" i="17"/>
  <c r="L426" i="17"/>
  <c r="M426" i="17" s="1"/>
  <c r="I427" i="17"/>
  <c r="N427" i="17" s="1"/>
  <c r="J427" i="17"/>
  <c r="O427" i="17" s="1"/>
  <c r="K427" i="17"/>
  <c r="L427" i="17"/>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I442" i="17"/>
  <c r="N442" i="17" s="1"/>
  <c r="J442" i="17"/>
  <c r="O442" i="17" s="1"/>
  <c r="K442" i="17"/>
  <c r="L442" i="17"/>
  <c r="M442" i="17" s="1"/>
  <c r="I443" i="17"/>
  <c r="N443" i="17" s="1"/>
  <c r="J443" i="17"/>
  <c r="O443" i="17" s="1"/>
  <c r="K443" i="17"/>
  <c r="L443" i="17"/>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I458" i="17"/>
  <c r="N458" i="17" s="1"/>
  <c r="J458" i="17"/>
  <c r="O458" i="17" s="1"/>
  <c r="K458" i="17"/>
  <c r="L458" i="17"/>
  <c r="M458" i="17" s="1"/>
  <c r="I459" i="17"/>
  <c r="N459" i="17" s="1"/>
  <c r="J459" i="17"/>
  <c r="O459" i="17" s="1"/>
  <c r="K459" i="17"/>
  <c r="L459" i="17"/>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I474" i="17"/>
  <c r="N474" i="17" s="1"/>
  <c r="J474" i="17"/>
  <c r="O474" i="17" s="1"/>
  <c r="K474" i="17"/>
  <c r="L474" i="17"/>
  <c r="M474" i="17" s="1"/>
  <c r="I475" i="17"/>
  <c r="N475" i="17" s="1"/>
  <c r="J475" i="17"/>
  <c r="O475" i="17" s="1"/>
  <c r="K475" i="17"/>
  <c r="L475" i="17"/>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I764" i="17"/>
  <c r="N764" i="17" s="1"/>
  <c r="J764" i="17"/>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<sst xmlns="http://schemas.openxmlformats.org/spreadsheetml/2006/main" count="11128" uniqueCount="6217">
  <si>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</si>
  <si>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</si>
  <si>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</si>
  <si>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</si>
  <si>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</si>
  <si>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</si>
  <si>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</si>
  <si>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</si>
  <si>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</si>
  <si>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</si>
  <si>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</si>
  <si>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</si>
  <si>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</si>
  <si>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</si>
  <si>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</si>
  <si>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</si>
  <si>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</si>
  <si>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</si>
  <si>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</si>
  <si>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</si>
  <si>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</si>
  <si>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</si>
  <si>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</si>
  <si>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</si>
  <si>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</si>
  <si>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</si>
  <si>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</si>
  <si>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</si>
  <si>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</si>
  <si>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</si>
  <si>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</si>
  <si>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</si>
  <si>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</si>
  <si>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</si>
  <si>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</si>
  <si>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</si>
  <si>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</si>
  <si>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</si>
  <si>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</si>
  <si>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</si>
  <si>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</si>
  <si>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</si>
  <si>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</si>
  <si>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</si>
  <si>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</si>
  <si>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</si>
  <si>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</si>
  <si>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</si>
  <si>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</si>
  <si>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</si>
  <si>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</si>
  <si>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</si>
  <si>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</si>
  <si>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</si>
  <si>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</si>
  <si>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</si>
  <si>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</si>
  <si>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</si>
  <si>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</si>
  <si>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</si>
  <si>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</si>
  <si>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</si>
  <si>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</si>
  <si>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</si>
  <si>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</si>
  <si>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</si>
  <si>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</si>
  <si>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</si>
  <si>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</si>
  <si>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</si>
  <si>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</si>
  <si>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</si>
  <si>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</si>
  <si>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</si>
  <si>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</si>
  <si>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</si>
  <si>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</si>
  <si>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</si>
  <si>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</si>
  <si>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</si>
  <si>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</si>
  <si>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</si>
  <si>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</si>
  <si>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</si>
  <si>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</si>
  <si>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</si>
  <si>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</si>
  <si>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</si>
  <si>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</si>
  <si>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</si>
  <si>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</si>
  <si>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</si>
  <si>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</si>
  <si>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</si>
  <si>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</si>
  <si>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</si>
  <si>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</si>
  <si>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</si>
  <si>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</si>
  <si>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</si>
  <si>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</si>
  <si>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</si>
  <si>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</si>
  <si>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</si>
  <si>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</si>
  <si>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</si>
  <si>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</si>
  <si>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</si>
  <si>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</si>
  <si>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</si>
  <si>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</si>
  <si>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</si>
  <si>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</si>
  <si>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</si>
  <si>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</si>
  <si>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</si>
  <si>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</si>
  <si>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</si>
  <si>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</si>
  <si>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</si>
  <si>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</si>
  <si>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</si>
  <si>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</si>
  <si>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</si>
  <si>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</si>
  <si>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</si>
  <si>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</si>
  <si>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</si>
  <si>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</si>
  <si>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</si>
  <si>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</si>
  <si>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</si>
  <si>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</si>
  <si>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</si>
  <si>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</si>
  <si>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</si>
  <si>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</si>
  <si>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</si>
  <si>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</si>
  <si>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</si>
  <si>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</si>
  <si>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</si>
  <si>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</si>
  <si>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</si>
  <si>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</si>
  <si>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</si>
  <si>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</si>
  <si>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</si>
  <si>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</si>
  <si>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</si>
  <si>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</si>
  <si>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</si>
  <si>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</si>
  <si>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</si>
  <si>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</si>
  <si>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</si>
  <si>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</si>
  <si>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</si>
  <si>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</si>
  <si>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</si>
  <si>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</si>
  <si>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</si>
  <si>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</si>
  <si>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</si>
  <si>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</si>
  <si>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</si>
  <si>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</si>
  <si>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</si>
  <si>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</si>
  <si>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</si>
  <si>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</si>
  <si>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</si>
  <si>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</si>
  <si>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</si>
  <si>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</si>
  <si>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</si>
  <si>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</si>
  <si>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</si>
  <si>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</si>
  <si>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</si>
  <si>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</si>
  <si>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</si>
  <si>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</si>
  <si>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</si>
  <si>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</si>
  <si>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</si>
  <si>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</si>
  <si>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</si>
  <si>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</si>
  <si>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</si>
  <si>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</si>
  <si>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</si>
  <si>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</si>
  <si>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</si>
  <si>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</si>
  <si>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</si>
  <si>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</si>
  <si>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</si>
  <si>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</si>
  <si>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</si>
  <si>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</si>
  <si>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</si>
  <si>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</si>
  <si>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</si>
  <si>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</si>
  <si>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</si>
  <si>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</si>
  <si>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</si>
  <si>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</si>
  <si>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</si>
  <si>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</si>
  <si>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</si>
  <si>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</si>
  <si>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</si>
  <si>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</si>
  <si>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</si>
  <si>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</si>
  <si>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</si>
  <si>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</si>
  <si>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</si>
  <si>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</si>
  <si>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</si>
  <si>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</si>
  <si>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</si>
  <si>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</si>
  <si>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</si>
  <si>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</si>
  <si>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</si>
  <si>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</si>
  <si>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</si>
  <si>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</si>
  <si>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</si>
  <si>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</si>
  <si>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</si>
  <si>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</si>
  <si>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</si>
  <si>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</si>
  <si>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</si>
  <si>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</si>
  <si>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</si>
  <si>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</si>
  <si>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</si>
  <si>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</si>
  <si>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</si>
  <si>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</si>
  <si>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</si>
  <si>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</si>
  <si>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</si>
  <si>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</si>
  <si>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</si>
  <si>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</si>
  <si>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</si>
  <si>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</si>
  <si>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</si>
  <si>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</si>
  <si>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</si>
  <si>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</si>
  <si>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</si>
  <si>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</si>
  <si>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</si>
  <si>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</si>
  <si>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</si>
  <si>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</si>
  <si>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</si>
  <si>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</si>
  <si>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</si>
  <si>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</si>
  <si>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</si>
  <si>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</si>
  <si>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</si>
  <si>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</si>
  <si>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</si>
  <si>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</si>
  <si>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</si>
  <si>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</si>
  <si>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</si>
  <si>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</si>
  <si>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</si>
  <si>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</si>
  <si>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</si>
  <si>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</si>
  <si>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</si>
  <si>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</si>
  <si>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</si>
  <si>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</si>
  <si>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</si>
  <si>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</si>
  <si>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</si>
  <si>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</si>
  <si>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</si>
  <si>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</si>
  <si>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</si>
  <si>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</si>
  <si>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</si>
  <si>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</si>
  <si>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</si>
  <si>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</si>
  <si>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</si>
  <si>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</si>
  <si>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</si>
  <si>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</si>
  <si>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</si>
  <si>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</si>
  <si>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</si>
  <si>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</si>
  <si>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</si>
  <si>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</si>
  <si>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</si>
  <si>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</si>
  <si>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</si>
  <si>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</si>
  <si>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</si>
  <si>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</si>
  <si>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</si>
  <si>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</si>
  <si>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</si>
  <si>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</si>
  <si>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</si>
  <si>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</si>
  <si>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</si>
  <si>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</si>
  <si>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</si>
  <si>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</si>
  <si>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</si>
  <si>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</si>
  <si>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</si>
  <si>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</si>
  <si>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</si>
  <si>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</si>
  <si>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</si>
  <si>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</si>
  <si>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</si>
  <si>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</si>
  <si>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</si>
  <si>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</si>
  <si>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</si>
  <si>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</si>
  <si>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</si>
  <si>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</si>
  <si>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</si>
  <si>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</si>
  <si>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</si>
  <si>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</si>
  <si>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</si>
  <si>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</si>
  <si>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</si>
  <si>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</si>
  <si>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</si>
  <si>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</si>
  <si>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</si>
  <si>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</si>
  <si>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</si>
  <si>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</si>
  <si>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</si>
  <si>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</si>
  <si>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</si>
  <si>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</si>
  <si>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</si>
  <si>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</si>
  <si>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</si>
  <si>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</si>
  <si>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</si>
  <si>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</si>
  <si>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</si>
  <si>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</si>
  <si>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</si>
  <si>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</si>
  <si>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</si>
  <si>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</si>
  <si>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</si>
  <si>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</si>
  <si>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</si>
  <si>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</si>
  <si>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</si>
  <si>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</si>
  <si>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</si>
  <si>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</si>
  <si>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</si>
  <si>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</si>
  <si>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</si>
  <si>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</si>
  <si>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</si>
  <si>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</si>
  <si>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</si>
  <si>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</si>
  <si>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</si>
  <si>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</si>
  <si>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</si>
  <si>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</si>
  <si>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</si>
  <si>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</si>
  <si>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</si>
  <si>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</si>
  <si>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</si>
  <si>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</si>
  <si>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</si>
  <si>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</si>
  <si>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</si>
  <si>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</si>
  <si>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</si>
  <si>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</si>
  <si>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</si>
  <si>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</si>
  <si>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</si>
  <si>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</si>
  <si>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</si>
  <si>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</si>
  <si>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</si>
  <si>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</si>
  <si>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</si>
  <si>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</si>
  <si>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</si>
  <si>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</si>
  <si>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</si>
  <si>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</si>
  <si>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</si>
  <si>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</si>
  <si>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</si>
  <si>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</si>
  <si>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</si>
  <si>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</si>
  <si>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</si>
  <si>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</si>
  <si>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</si>
  <si>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</si>
  <si>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</si>
  <si>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</si>
  <si>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</si>
  <si>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</si>
  <si>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</si>
  <si>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</si>
  <si>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</si>
  <si>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</si>
  <si>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</si>
  <si>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</si>
  <si>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</si>
  <si>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</si>
  <si>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</si>
  <si>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</si>
  <si>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</si>
  <si>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</si>
  <si>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</si>
  <si>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</si>
  <si>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</si>
  <si>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</si>
  <si>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</si>
  <si>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</si>
  <si>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</si>
  <si>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</si>
  <si>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</si>
  <si>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</si>
  <si>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</si>
  <si>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</si>
  <si>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</si>
  <si>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</si>
  <si>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</si>
  <si>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</si>
  <si>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</si>
  <si>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</si>
  <si>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</si>
  <si>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</si>
  <si>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</si>
  <si>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</si>
  <si>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</si>
  <si>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</si>
  <si>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</si>
  <si>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</si>
  <si>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</si>
  <si>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</si>
  <si>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</si>
  <si>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</si>
  <si>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</si>
  <si>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</si>
  <si>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</si>
  <si>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</si>
  <si>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</si>
  <si>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</si>
  <si>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</si>
  <si>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</si>
  <si>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</si>
  <si>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</si>
  <si>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</si>
  <si>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</si>
  <si>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</si>
  <si>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</si>
  <si>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</si>
  <si>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</si>
  <si>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</si>
  <si>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</si>
  <si>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</si>
  <si>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</si>
  <si>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</si>
  <si>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</si>
  <si>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</si>
  <si>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</si>
  <si>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</si>
  <si>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</si>
  <si>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</si>
  <si>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</si>
  <si>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</si>
  <si>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</si>
  <si>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</si>
  <si>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</si>
  <si>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</si>
  <si>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</si>
  <si>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</si>
  <si>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</si>
  <si>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</si>
  <si>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</si>
  <si>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</si>
  <si>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</si>
  <si>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</si>
  <si>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</si>
  <si>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</si>
  <si>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</si>
  <si>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</si>
  <si>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</si>
  <si>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</si>
  <si>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</si>
  <si>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</si>
  <si>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</si>
  <si>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</si>
  <si>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</si>
  <si>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</si>
  <si>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</si>
  <si>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</si>
  <si>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</si>
  <si>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</si>
  <si>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</si>
  <si>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</si>
  <si>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</si>
  <si>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</si>
  <si>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</si>
  <si>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</si>
  <si>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</si>
  <si>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</si>
  <si>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</si>
  <si>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</si>
  <si>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</si>
  <si>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</si>
  <si>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</si>
  <si>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</si>
  <si>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</si>
  <si>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</si>
  <si>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</si>
  <si>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</si>
  <si>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</si>
  <si>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</si>
  <si>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</si>
  <si>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</si>
  <si>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</si>
  <si>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</si>
  <si>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</si>
  <si>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</si>
  <si>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</si>
  <si>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</si>
  <si>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</si>
  <si>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</si>
  <si>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</si>
  <si>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</si>
  <si>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</si>
  <si>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</si>
  <si>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</si>
  <si>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</si>
  <si>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</si>
  <si>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</si>
  <si>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</si>
  <si>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</si>
  <si>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</si>
  <si>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</si>
  <si>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</si>
  <si>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</si>
  <si>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</si>
  <si>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</si>
  <si>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</si>
  <si>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</si>
  <si>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</si>
  <si>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</si>
  <si>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</si>
  <si>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</si>
  <si>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</si>
  <si>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</si>
  <si>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</si>
  <si>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</si>
  <si>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</si>
  <si>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</si>
  <si>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</si>
  <si>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</si>
  <si>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</si>
  <si>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</si>
  <si>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</si>
  <si>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</si>
  <si>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</si>
  <si>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</si>
  <si>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</si>
  <si>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</si>
  <si>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</si>
  <si>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</si>
  <si>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</si>
  <si>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</si>
  <si>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</si>
  <si>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</si>
  <si>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</si>
  <si>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</si>
  <si>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</si>
  <si>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</si>
  <si>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</si>
  <si>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</si>
  <si>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</si>
  <si>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</si>
  <si>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</si>
  <si>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</si>
  <si>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</si>
  <si>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</si>
  <si>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</si>
  <si>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</si>
  <si>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</si>
  <si>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</si>
  <si>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</si>
  <si>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</si>
  <si>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</si>
  <si>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</si>
  <si>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</si>
  <si>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</si>
  <si>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</si>
  <si>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</si>
  <si>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</si>
  <si>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</si>
  <si>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</si>
  <si>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</si>
  <si>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</si>
  <si>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</si>
  <si>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</si>
  <si>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</si>
  <si>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</si>
  <si>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</si>
  <si>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</si>
  <si>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</si>
  <si>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</si>
  <si>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</si>
  <si>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</si>
  <si>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</si>
  <si>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</si>
  <si>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</si>
  <si>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</si>
  <si>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</si>
  <si>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</si>
  <si>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</si>
  <si>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</si>
  <si>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</si>
  <si>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</si>
  <si>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</si>
  <si>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</si>
  <si>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</si>
  <si>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</si>
  <si>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</si>
  <si>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</si>
  <si>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</si>
  <si>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</si>
  <si>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</si>
  <si>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</si>
  <si>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</si>
  <si>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</si>
  <si>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</si>
  <si>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</si>
  <si>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</si>
  <si>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</si>
  <si>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</si>
  <si>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</si>
  <si>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</si>
  <si>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</si>
  <si>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</si>
  <si>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</si>
  <si>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</si>
  <si>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</si>
  <si>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</si>
  <si>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</si>
  <si>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</si>
  <si>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</si>
  <si>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</si>
  <si>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</si>
  <si>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</si>
  <si>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</si>
  <si>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</si>
  <si>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</si>
  <si>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</si>
  <si>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</si>
  <si>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</si>
  <si>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</si>
  <si>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</si>
  <si>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</si>
  <si>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</si>
  <si>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</si>
  <si>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</si>
  <si>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</si>
  <si>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</si>
  <si>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</si>
  <si>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</si>
  <si>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</si>
  <si>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</si>
  <si>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</si>
  <si>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</si>
  <si>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</si>
  <si>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</si>
  <si>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</si>
  <si>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</si>
  <si>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</si>
  <si>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</si>
  <si>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</si>
  <si>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</si>
  <si>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</si>
  <si>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</si>
  <si>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</si>
  <si>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</si>
  <si>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</si>
  <si>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</si>
  <si>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</si>
  <si>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</si>
  <si>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</si>
  <si>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</si>
  <si>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</si>
  <si>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</si>
  <si>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</si>
  <si>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</si>
  <si>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</si>
  <si>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</si>
  <si>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</si>
  <si>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</si>
  <si>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</si>
  <si>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</si>
  <si>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</si>
  <si>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</si>
  <si>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</si>
  <si>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</si>
  <si>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</si>
  <si>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</si>
  <si>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</si>
  <si>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</si>
  <si>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</si>
  <si>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</si>
  <si>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</si>
  <si>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</si>
  <si>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</si>
  <si>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</si>
  <si>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</si>
  <si>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</si>
  <si>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</si>
  <si>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</si>
  <si>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</si>
  <si>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</si>
  <si>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</si>
  <si>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</si>
  <si>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</si>
  <si>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</si>
  <si>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</si>
  <si>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</si>
  <si>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</si>
  <si>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</si>
  <si>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</si>
  <si>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</si>
  <si>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</si>
  <si>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</si>
  <si>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</si>
  <si>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</si>
  <si>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</si>
  <si>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</si>
  <si>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</si>
  <si>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</si>
  <si>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</si>
  <si>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</si>
  <si>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</si>
  <si>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</si>
  <si>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</si>
  <si>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</si>
  <si>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</si>
  <si>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</si>
  <si>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</si>
  <si>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</si>
  <si>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</si>
  <si>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</si>
  <si>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</si>
  <si>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</si>
  <si>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</si>
  <si>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</si>
  <si>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</si>
  <si>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</si>
  <si>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</si>
  <si>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</si>
  <si>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</si>
  <si>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</si>
  <si>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</si>
  <si>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</si>
  <si>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</si>
  <si>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</si>
  <si>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</si>
  <si>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</si>
  <si>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</si>
  <si>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</si>
  <si>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</si>
  <si>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</si>
  <si>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</si>
  <si>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</si>
  <si>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</si>
  <si>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</si>
  <si>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</si>
  <si>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</si>
  <si>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</si>
  <si>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</si>
  <si>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</si>
  <si>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</si>
  <si>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</si>
  <si>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</si>
  <si>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</si>
  <si>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</si>
  <si>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</si>
  <si>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</si>
  <si>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</si>
  <si>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</si>
  <si>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</si>
  <si>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</si>
  <si>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</si>
  <si>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</si>
  <si>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</si>
  <si>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</si>
  <si>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</si>
  <si>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</si>
  <si>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</si>
  <si>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</si>
  <si>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</si>
  <si>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</si>
  <si>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</si>
  <si>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</si>
  <si>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</si>
  <si>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</si>
  <si>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</si>
  <si>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</si>
  <si>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</si>
  <si>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</si>
  <si>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</si>
  <si>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</si>
  <si>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</si>
  <si>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</si>
  <si>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</si>
  <si>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</si>
  <si>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</si>
  <si>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</si>
  <si>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</si>
  <si>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</si>
  <si>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</si>
  <si>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</si>
  <si>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</si>
  <si>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</si>
  <si>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</si>
  <si>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</si>
  <si>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</si>
  <si>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</si>
  <si>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</si>
  <si>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</si>
  <si>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</si>
  <si>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</si>
  <si>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</si>
  <si>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</si>
  <si>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</si>
  <si>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</si>
  <si>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</si>
  <si>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</si>
  <si>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</si>
  <si>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</si>
  <si>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</si>
  <si>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</si>
  <si>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</si>
  <si>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</si>
  <si>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</si>
  <si>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</si>
  <si>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</si>
  <si>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</si>
  <si>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</si>
  <si>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</si>
  <si>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</si>
  <si>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</si>
  <si>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</si>
  <si>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</si>
  <si>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</si>
  <si>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</si>
  <si>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</si>
  <si>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</si>
  <si>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</si>
  <si>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</si>
  <si>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</si>
  <si>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</si>
  <si>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</si>
  <si>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</si>
  <si>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</si>
  <si>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</si>
  <si>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</si>
  <si>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</si>
  <si>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</si>
  <si>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</si>
  <si>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</si>
  <si>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</si>
  <si>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</si>
  <si>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</si>
  <si>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</si>
  <si>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</si>
  <si>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</si>
  <si>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</si>
  <si>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</si>
  <si>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</si>
  <si>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</si>
  <si>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</si>
  <si>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</si>
  <si>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</si>
  <si>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</si>
  <si>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</si>
  <si>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</si>
  <si>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</si>
  <si>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</si>
  <si>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</si>
  <si>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</si>
  <si>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</si>
  <si>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</si>
  <si>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</si>
  <si>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</si>
  <si>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</si>
  <si>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</si>
  <si>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</si>
  <si>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</si>
  <si>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</si>
  <si>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</si>
  <si>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</si>
  <si>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</si>
  <si>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</si>
  <si>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</si>
  <si>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</si>
  <si>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</si>
  <si>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</si>
  <si>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</si>
  <si>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</si>
  <si>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</si>
  <si>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</si>
  <si>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</si>
  <si>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</si>
  <si>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</si>
  <si>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</si>
  <si>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</si>
  <si>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</si>
  <si>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</si>
  <si>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</si>
  <si>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</si>
  <si>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</si>
  <si>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</si>
  <si>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</si>
  <si>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</si>
  <si>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</si>
  <si>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</si>
  <si>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</si>
  <si>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</si>
  <si>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</si>
  <si>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</si>
  <si>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</si>
  <si>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</si>
  <si>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</si>
  <si>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</si>
  <si>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</si>
  <si>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</si>
  <si>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</si>
  <si>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</si>
  <si>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</si>
  <si>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</si>
  <si>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</si>
  <si>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</si>
  <si>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</si>
  <si>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</si>
  <si>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</si>
  <si>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</si>
  <si>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</si>
  <si>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</si>
  <si>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</si>
  <si>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</si>
  <si>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</si>
  <si>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</si>
  <si>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</si>
  <si>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</si>
  <si>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</si>
  <si>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</si>
  <si>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</si>
  <si>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</si>
  <si>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</si>
  <si>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</si>
  <si>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</si>
  <si>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</si>
  <si>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</si>
  <si>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</si>
  <si>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</si>
  <si>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</si>
  <si>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</si>
  <si>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</si>
  <si>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</si>
  <si>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</si>
  <si>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</si>
  <si>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</si>
  <si>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</si>
  <si>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</si>
  <si>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</si>
  <si>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</si>
  <si>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</si>
  <si>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</si>
  <si>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</si>
  <si>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</si>
  <si>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</si>
  <si>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</si>
  <si>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</si>
  <si>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</si>
  <si>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</si>
  <si>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</si>
  <si>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</si>
  <si>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</si>
  <si>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</si>
  <si>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</si>
  <si>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</si>
  <si>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</si>
  <si>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</si>
  <si>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</si>
  <si>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</si>
  <si>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</si>
  <si>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</si>
  <si>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</si>
  <si>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</si>
  <si>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</si>
  <si>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</si>
  <si>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</si>
  <si>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</si>
  <si>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</si>
  <si>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</si>
  <si>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</si>
  <si>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</si>
  <si>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</si>
  <si>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</si>
  <si>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</si>
  <si>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</si>
  <si>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</si>
  <si>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</si>
  <si>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</si>
  <si>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</si>
  <si>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</si>
  <si>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</si>
  <si>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</si>
  <si>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</si>
  <si>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</si>
  <si>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</si>
  <si>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</si>
  <si>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</si>
  <si>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</si>
  <si>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</si>
  <si>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</si>
  <si>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</si>
  <si>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</si>
  <si>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</si>
  <si>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</si>
  <si>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</si>
  <si>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</si>
  <si>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</si>
  <si>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</si>
  <si>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</si>
  <si>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</si>
  <si>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</si>
  <si>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</si>
  <si>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</si>
  <si>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</si>
  <si>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</si>
  <si>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</si>
  <si>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</si>
  <si>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</si>
  <si>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</si>
  <si>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</si>
  <si>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</si>
  <si>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</si>
  <si>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</si>
  <si>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</si>
  <si>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</si>
  <si>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</si>
  <si>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</si>
  <si>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</si>
  <si>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</si>
  <si>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</si>
  <si>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</si>
  <si>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</si>
  <si>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</si>
  <si>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</si>
  <si>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</si>
  <si>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</si>
  <si>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</si>
  <si>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</si>
  <si>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</si>
  <si>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</si>
  <si>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</si>
  <si>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</si>
  <si>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</si>
  <si>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</si>
  <si>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</si>
  <si>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</si>
  <si>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</si>
  <si>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</si>
  <si>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</si>
  <si>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</si>
  <si>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</si>
  <si>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</si>
  <si>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</si>
  <si>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</si>
  <si>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</si>
  <si>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</si>
  <si>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</si>
  <si>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</si>
  <si>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</si>
  <si>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</si>
  <si>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</si>
  <si>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</si>
  <si>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</si>
  <si>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</si>
  <si>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</si>
  <si>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</si>
  <si>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</si>
  <si>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</si>
  <si>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</si>
  <si>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</si>
  <si>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</si>
  <si>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</si>
  <si>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</si>
  <si>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</si>
  <si>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</si>
  <si>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</si>
  <si>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</si>
  <si>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</si>
  <si>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</si>
  <si>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</si>
  <si>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</si>
  <si>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</si>
  <si>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</si>
  <si>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</si>
  <si>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</si>
  <si>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</si>
  <si>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</si>
  <si>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</si>
  <si>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</si>
  <si>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</si>
  <si>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</si>
  <si>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</si>
  <si>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</si>
  <si>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</si>
  <si>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</si>
  <si>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</si>
  <si>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</si>
  <si>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</si>
  <si>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</si>
  <si>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</si>
  <si>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</si>
  <si>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</si>
  <si>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</si>
  <si>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</si>
  <si>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</si>
  <si>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</si>
  <si>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</si>
  <si>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</si>
  <si>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</si>
  <si>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</si>
  <si>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</si>
  <si>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</si>
  <si>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</si>
  <si>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</si>
  <si>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</si>
  <si>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</si>
  <si>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</si>
  <si>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</si>
  <si>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</si>
  <si>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</si>
  <si>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</si>
  <si>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</si>
  <si>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</si>
  <si>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</si>
  <si>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</si>
  <si>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</si>
  <si>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</si>
  <si>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</si>
  <si>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</si>
  <si>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</si>
  <si>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</si>
  <si>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</si>
  <si>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</si>
  <si>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</si>
  <si>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</si>
  <si>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</si>
  <si>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</si>
  <si>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</si>
  <si>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</si>
  <si>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</si>
  <si>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</si>
  <si>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</si>
  <si>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</si>
  <si>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</si>
  <si>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</si>
  <si>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</si>
  <si>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</si>
  <si>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</si>
  <si>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</si>
  <si>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</si>
  <si>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</si>
  <si>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</si>
  <si>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</si>
  <si>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</si>
  <si>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</si>
  <si>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</si>
  <si>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</si>
  <si>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</si>
  <si>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</si>
  <si>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</si>
  <si>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</si>
  <si>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</si>
  <si>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</si>
  <si>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</si>
  <si>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</si>
  <si>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</si>
  <si>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</si>
  <si>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</si>
  <si>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</si>
  <si>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</si>
  <si>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</si>
  <si>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</si>
  <si>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</si>
  <si>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</si>
  <si>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</si>
  <si>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</si>
  <si>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</si>
  <si>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</si>
  <si>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</si>
  <si>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</si>
  <si>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</si>
  <si>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</si>
  <si>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</si>
  <si>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</si>
  <si>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</si>
  <si>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</si>
  <si>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</si>
  <si>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</si>
  <si>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</si>
  <si>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</si>
  <si>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</si>
  <si>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</si>
  <si>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</si>
  <si>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</si>
  <si>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</si>
  <si>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</si>
  <si>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</si>
  <si>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</si>
  <si>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</si>
  <si>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</si>
  <si>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</si>
  <si>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</si>
  <si>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</si>
  <si>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</si>
  <si>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</si>
  <si>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</si>
  <si>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</si>
  <si>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</si>
  <si>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</si>
  <si>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</si>
  <si>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</si>
  <si>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</si>
  <si>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</si>
  <si>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</si>
  <si>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</si>
  <si>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</si>
  <si>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</si>
  <si>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</si>
  <si>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</si>
  <si>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</si>
  <si>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</si>
  <si>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</si>
  <si>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</si>
  <si>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</si>
  <si>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</si>
  <si>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</si>
  <si>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</si>
  <si>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</si>
  <si>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</si>
  <si>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</si>
  <si>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</si>
  <si>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</si>
  <si>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</si>
  <si>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</si>
  <si>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</si>
  <si>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</si>
  <si>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</si>
  <si>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</si>
  <si>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</si>
  <si>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</si>
  <si>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</si>
  <si>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</si>
  <si>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</si>
  <si>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</si>
  <si>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</si>
  <si>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</si>
  <si>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</si>
  <si>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</si>
  <si>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</si>
  <si>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</si>
  <si>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</si>
  <si>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</si>
  <si>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</si>
  <si>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</si>
  <si>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</si>
  <si>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</si>
  <si>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</si>
  <si>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</si>
  <si>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</si>
  <si>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</si>
  <si>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</si>
  <si>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</si>
  <si>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</si>
  <si>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</si>
  <si>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</si>
  <si>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</si>
  <si>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</si>
  <si>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</si>
  <si>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</si>
  <si>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</si>
  <si>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</si>
  <si>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</si>
  <si>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</si>
  <si>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</si>
  <si>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</si>
  <si>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</si>
  <si>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</si>
  <si>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</si>
  <si>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</si>
  <si>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</si>
  <si>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</si>
  <si>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</si>
  <si>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</si>
  <si>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</si>
  <si>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</si>
  <si>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</si>
  <si>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</si>
  <si>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</si>
  <si>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</si>
  <si>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</si>
  <si>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</si>
  <si>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</si>
  <si>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</si>
  <si>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</si>
  <si>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</si>
  <si>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</si>
  <si>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</si>
  <si>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</si>
  <si>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</si>
  <si>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</si>
  <si>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</si>
  <si>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</si>
  <si>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</si>
  <si>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</si>
  <si>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</si>
  <si>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</si>
  <si>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</si>
  <si>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</si>
  <si>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</si>
  <si>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</si>
  <si>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</si>
  <si>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</si>
  <si>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</si>
  <si>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</si>
  <si>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</si>
  <si>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</si>
  <si>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</si>
  <si>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</si>
  <si>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</si>
  <si>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</si>
  <si>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</si>
  <si>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</si>
  <si>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</si>
  <si>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</si>
  <si>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</si>
  <si>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</si>
  <si>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</si>
  <si>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</si>
  <si>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</si>
  <si>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</si>
  <si>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</si>
  <si>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</si>
  <si>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</si>
  <si>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</si>
  <si>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</si>
  <si>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</si>
  <si>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</si>
  <si>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</si>
  <si>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</si>
  <si>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</si>
  <si>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</si>
  <si>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</si>
  <si>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</si>
  <si>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</si>
  <si>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</si>
  <si>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</si>
  <si>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</si>
  <si>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</si>
  <si>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</si>
  <si>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</si>
  <si>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</si>
  <si>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</si>
  <si>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</si>
  <si>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</si>
  <si>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</si>
  <si>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</si>
  <si>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</si>
  <si>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</si>
  <si>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</si>
  <si>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</si>
  <si>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</si>
  <si>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</si>
  <si>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</si>
  <si>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</si>
  <si>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</si>
  <si>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</si>
  <si>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</si>
  <si>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</si>
  <si>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</si>
  <si>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</si>
  <si>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</si>
  <si>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</si>
  <si>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</si>
  <si>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</si>
  <si>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</si>
  <si>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</si>
  <si>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</si>
  <si>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</si>
  <si>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</si>
  <si>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</si>
  <si>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</si>
  <si>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</si>
  <si>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</si>
  <si>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</si>
  <si>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</si>
  <si>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</si>
  <si>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</si>
  <si>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</si>
  <si>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</si>
  <si>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</si>
  <si>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</si>
  <si>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</si>
  <si>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</si>
  <si>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</si>
  <si>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</si>
  <si>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</si>
  <si>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</si>
  <si>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</si>
  <si>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</si>
  <si>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</si>
  <si>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</si>
  <si>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</si>
  <si>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</si>
  <si>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</si>
  <si>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</si>
  <si>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</si>
  <si>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</si>
  <si>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</si>
  <si>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</si>
  <si>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</si>
  <si>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</si>
  <si>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</si>
  <si>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</si>
  <si>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</si>
  <si>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</si>
  <si>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</si>
  <si>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</si>
  <si>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</si>
  <si>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</si>
  <si>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</si>
  <si>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</si>
  <si>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</si>
  <si>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</si>
  <si>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</si>
  <si>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</si>
  <si>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</si>
  <si>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</si>
  <si>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</si>
  <si>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</si>
  <si>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</si>
  <si>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</si>
  <si>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</si>
  <si>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</si>
  <si>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</si>
  <si>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</si>
  <si>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</si>
  <si>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</si>
  <si>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</si>
  <si>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</si>
  <si>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</si>
  <si>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</si>
  <si>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</si>
  <si>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</si>
  <si>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</si>
  <si>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</si>
  <si>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</si>
  <si>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</si>
  <si>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</si>
  <si>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</si>
  <si>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</si>
  <si>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</si>
  <si>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</si>
  <si>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</si>
  <si>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</si>
  <si>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</si>
  <si>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</si>
  <si>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</si>
  <si>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</si>
  <si>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</si>
  <si>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</si>
  <si>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</si>
  <si>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</si>
  <si>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</si>
  <si>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</si>
  <si>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</si>
  <si>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</si>
  <si>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</si>
  <si>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</si>
  <si>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</si>
  <si>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</si>
  <si>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</si>
  <si>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</si>
  <si>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</si>
  <si>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</si>
  <si>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</si>
  <si>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</si>
  <si>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</si>
  <si>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</si>
  <si>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</si>
  <si>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</si>
  <si>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</si>
  <si>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</si>
  <si>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</si>
  <si>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</si>
  <si>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</si>
  <si>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</si>
  <si>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</si>
  <si>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</si>
  <si>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</si>
  <si>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</si>
  <si>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</si>
  <si>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</si>
  <si>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</si>
  <si>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</si>
  <si>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</si>
  <si>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</si>
  <si>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</si>
  <si>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</si>
  <si>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</si>
  <si>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</si>
  <si>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</si>
  <si>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</si>
  <si>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</si>
  <si>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</si>
  <si>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</si>
  <si>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</si>
  <si>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</si>
  <si>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</si>
  <si>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</si>
  <si>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</si>
  <si>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</si>
  <si>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</si>
  <si>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</si>
  <si>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</si>
  <si>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</si>
  <si>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</si>
  <si>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</si>
  <si>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</si>
  <si>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</si>
  <si>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</si>
  <si>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</si>
  <si>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</si>
  <si>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</si>
  <si>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</si>
  <si>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</si>
  <si>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</si>
  <si>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</si>
  <si>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</si>
  <si>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</si>
  <si>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</si>
  <si>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</si>
  <si>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</si>
  <si>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</si>
  <si>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</si>
  <si>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</si>
  <si>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</si>
  <si>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</si>
  <si>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</si>
  <si>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</si>
  <si>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</si>
  <si>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</si>
  <si>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</si>
  <si>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</si>
  <si>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</si>
  <si>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</si>
  <si>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</si>
  <si>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</si>
  <si>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</si>
  <si>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</si>
  <si>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</si>
  <si>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</si>
  <si>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</si>
  <si>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</si>
  <si>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</si>
  <si>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</si>
  <si>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</si>
  <si>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</si>
  <si>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</si>
  <si>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</si>
  <si>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</si>
  <si>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</si>
  <si>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</si>
  <si>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</si>
  <si>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</si>
  <si>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</si>
  <si>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</si>
  <si>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</si>
  <si>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</si>
  <si>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</si>
  <si>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</si>
  <si>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</si>
  <si>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</si>
  <si>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</si>
  <si>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</si>
  <si>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</si>
  <si>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</si>
  <si>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</si>
  <si>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</si>
  <si>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</si>
  <si>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</si>
  <si>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</si>
  <si>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</si>
  <si>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</si>
  <si>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</si>
  <si>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</si>
  <si>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</si>
  <si>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</si>
  <si>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</si>
  <si>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</si>
  <si>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</si>
  <si>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</si>
  <si>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</si>
  <si>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</si>
  <si>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</si>
  <si>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</si>
  <si>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</si>
  <si>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</si>
  <si>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</si>
  <si>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</si>
  <si>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</si>
  <si>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</si>
  <si>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</si>
  <si>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</si>
  <si>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</si>
  <si>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</si>
  <si>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</si>
  <si>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</si>
  <si>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</si>
  <si>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</si>
  <si>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</si>
  <si>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</si>
  <si>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</si>
  <si>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</si>
  <si>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</si>
  <si>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</si>
  <si>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</si>
  <si>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</si>
  <si>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</si>
  <si>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</si>
  <si>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</si>
  <si>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</si>
  <si>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</si>
  <si>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</si>
  <si>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</si>
  <si>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</si>
  <si>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</si>
  <si>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</si>
  <si>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</si>
  <si>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</si>
  <si>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</si>
  <si>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</si>
  <si>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</si>
  <si>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</si>
  <si>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</si>
  <si>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</si>
  <si>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</si>
  <si>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</si>
  <si>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</si>
  <si>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</si>
  <si>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</si>
  <si>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</si>
  <si>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</si>
  <si>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</si>
  <si>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</si>
  <si>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</si>
  <si>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</si>
  <si>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</si>
  <si>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</si>
  <si>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</si>
  <si>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</si>
  <si>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</si>
  <si>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</si>
  <si>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</si>
  <si>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</si>
  <si>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</si>
  <si>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</si>
  <si>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</si>
  <si>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</si>
  <si>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</si>
  <si>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</si>
  <si>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</si>
  <si>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</si>
  <si>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</si>
  <si>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</si>
  <si>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</si>
  <si>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</si>
  <si>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</si>
  <si>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</si>
  <si>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</si>
  <si>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</si>
  <si>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</si>
  <si>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</si>
  <si>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</si>
  <si>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</si>
  <si>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</si>
  <si>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</si>
  <si>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</si>
  <si>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</si>
  <si>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</si>
  <si>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</si>
  <si>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</si>
  <si>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</si>
  <si>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</si>
  <si>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</si>
  <si>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</si>
  <si>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</si>
  <si>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</si>
  <si>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</si>
  <si>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</si>
  <si>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</si>
  <si>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</si>
  <si>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</si>
  <si>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</si>
  <si>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</si>
  <si>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</si>
  <si>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</si>
  <si>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</si>
  <si>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</si>
  <si>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</si>
  <si>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</si>
  <si>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</si>
  <si>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</si>
  <si>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</si>
  <si>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</si>
  <si>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</si>
  <si>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</si>
  <si>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</si>
  <si>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</si>
  <si>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</si>
  <si>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</si>
  <si>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</si>
  <si>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</si>
  <si>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</si>
  <si>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</si>
  <si>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</si>
  <si>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</si>
  <si>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</si>
  <si>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</si>
  <si>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</si>
  <si>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</si>
  <si>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</si>
  <si>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</si>
  <si>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</si>
  <si>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</si>
  <si>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</si>
  <si>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</si>
  <si>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</si>
  <si>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</si>
  <si>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</si>
  <si>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</si>
  <si>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</si>
  <si>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</si>
  <si>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</si>
  <si>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</si>
  <si>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</si>
  <si>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</si>
  <si>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</si>
  <si>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</si>
  <si>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</si>
  <si>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</si>
  <si>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</si>
  <si>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</si>
  <si>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</si>
  <si>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</si>
  <si>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</si>
  <si>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</si>
  <si>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</si>
  <si>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</si>
  <si>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</si>
  <si>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</si>
  <si>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</si>
  <si>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</si>
  <si>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</si>
  <si>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</si>
  <si>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</si>
  <si>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</si>
  <si>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</si>
  <si>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</si>
  <si>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</si>
  <si>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</si>
  <si>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</si>
  <si>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</si>
  <si>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</si>
  <si>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</si>
  <si>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</si>
  <si>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</si>
  <si>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</si>
  <si>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</si>
  <si>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</si>
  <si>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</si>
  <si>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</si>
  <si>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</si>
  <si>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</si>
  <si>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</si>
  <si>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</si>
  <si>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</si>
  <si>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</si>
  <si>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</si>
  <si>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</si>
  <si>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</si>
  <si>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</si>
  <si>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</si>
  <si>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</si>
  <si>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</si>
  <si>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</si>
  <si>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</si>
  <si>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</si>
  <si>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</si>
  <si>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</si>
  <si>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</si>
  <si>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</si>
  <si>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</si>
  <si>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</si>
  <si>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</si>
  <si>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</si>
  <si>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</si>
  <si>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</si>
  <si>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</si>
  <si>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</si>
  <si>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</si>
  <si>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</si>
  <si>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</si>
  <si>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</si>
  <si>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</si>
  <si>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</si>
  <si>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</si>
  <si>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</si>
  <si>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</si>
  <si>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</si>
  <si>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</si>
  <si>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</si>
  <si>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</si>
  <si>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</si>
  <si>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</si>
  <si>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</si>
  <si>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</si>
  <si>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</si>
  <si>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</si>
  <si>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</si>
  <si>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</si>
  <si>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</si>
  <si>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</si>
  <si>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</si>
  <si>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</si>
  <si>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</si>
  <si>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</si>
  <si>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</si>
  <si>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</si>
  <si>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</si>
  <si>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</si>
  <si>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</si>
  <si>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</si>
  <si>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</si>
  <si>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</si>
  <si>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</si>
  <si>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</si>
  <si>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</si>
  <si>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</si>
  <si>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</si>
  <si>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</si>
  <si>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</si>
  <si>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</si>
  <si>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</si>
  <si>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</si>
  <si>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</si>
  <si>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</si>
  <si>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</si>
  <si>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</si>
  <si>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</si>
  <si>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</si>
  <si>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</si>
  <si>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</si>
  <si>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</si>
  <si>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</si>
  <si>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</si>
  <si>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</si>
  <si>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</si>
  <si>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</si>
  <si>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</si>
  <si>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</si>
  <si>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</si>
  <si>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</si>
  <si>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</si>
  <si>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</si>
  <si>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</si>
  <si>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</si>
  <si>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</si>
  <si>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</si>
  <si>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</si>
  <si>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</si>
  <si>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</si>
  <si>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</si>
  <si>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</si>
  <si>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</si>
  <si>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</si>
  <si>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</si>
  <si>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</si>
  <si>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</si>
  <si>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</si>
  <si>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</si>
  <si>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</si>
  <si>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</si>
  <si>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</si>
  <si>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</si>
  <si>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</si>
  <si>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</si>
  <si>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</si>
  <si>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</si>
  <si>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</si>
  <si>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</si>
  <si>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</si>
  <si>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</si>
  <si>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</si>
  <si>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</si>
  <si>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</si>
  <si>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</si>
  <si>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</si>
  <si>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</si>
  <si>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</si>
  <si>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</si>
  <si>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</si>
  <si>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</si>
  <si>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</si>
  <si>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</si>
  <si>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</si>
  <si>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</si>
  <si>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</si>
  <si>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</si>
  <si>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</si>
  <si>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</si>
  <si>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</si>
  <si>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</si>
  <si>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</si>
  <si>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</si>
  <si>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</si>
  <si>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</si>
  <si>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</si>
  <si>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</si>
  <si>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</si>
  <si>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</si>
  <si>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</si>
  <si>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</si>
  <si>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</si>
  <si>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</si>
  <si>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</si>
  <si>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</si>
  <si>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</si>
  <si>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</si>
  <si>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</si>
  <si>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</si>
  <si>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</si>
  <si>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</si>
  <si>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</si>
  <si>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</si>
  <si>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</si>
  <si>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</si>
  <si>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</si>
  <si>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</si>
  <si>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</si>
  <si>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</si>
  <si>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</si>
  <si>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</si>
  <si>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</si>
  <si>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</si>
  <si>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</si>
  <si>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</si>
  <si>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</si>
  <si>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</si>
  <si>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</si>
  <si>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</si>
  <si>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</si>
  <si>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</si>
  <si>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</si>
  <si>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</si>
  <si>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</si>
  <si>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</si>
  <si>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</si>
  <si>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</si>
  <si>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</si>
  <si>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</si>
  <si>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</si>
  <si>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</si>
  <si>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</si>
  <si>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</si>
  <si>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</si>
  <si>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</si>
  <si>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</si>
  <si>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</si>
  <si>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</si>
  <si>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</si>
  <si>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</si>
  <si>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</si>
  <si>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</si>
  <si>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</si>
  <si>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</si>
  <si>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</si>
  <si>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</si>
  <si>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</si>
  <si>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</si>
  <si>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</si>
  <si>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</si>
  <si>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</si>
  <si>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</si>
  <si>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</si>
  <si>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</si>
  <si>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</si>
  <si>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</si>
  <si>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</si>
  <si>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</si>
  <si>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</si>
  <si>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</si>
  <si>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</si>
  <si>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</si>
  <si>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</si>
  <si>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</si>
  <si>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</si>
  <si>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</si>
  <si>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</si>
  <si>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</si>
  <si>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</si>
  <si>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</si>
  <si>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</si>
  <si>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</si>
  <si>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</si>
  <si>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</si>
  <si>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</si>
  <si>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</si>
  <si>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</si>
  <si>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</si>
  <si>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</si>
  <si>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</si>
  <si>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</si>
  <si>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</si>
  <si>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</si>
  <si>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</si>
  <si>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</si>
  <si>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</si>
  <si>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</si>
  <si>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</si>
  <si>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</si>
  <si>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</si>
  <si>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</si>
  <si>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</si>
  <si>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</si>
  <si>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</si>
  <si>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</si>
  <si>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</si>
  <si>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</si>
  <si>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</si>
  <si>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</si>
  <si>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</si>
  <si>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</si>
  <si>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</si>
  <si>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</si>
  <si>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</si>
  <si>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</si>
  <si>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</si>
  <si>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</si>
  <si>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</si>
  <si>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</si>
  <si>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</si>
  <si>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</si>
  <si>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</si>
  <si>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</si>
  <si>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</si>
  <si>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</si>
  <si>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</si>
  <si>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</si>
  <si>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</si>
  <si>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</si>
  <si>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</si>
  <si>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</si>
  <si>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</si>
  <si>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</si>
  <si>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</si>
  <si>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</si>
  <si>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</si>
  <si>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</si>
  <si>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</si>
  <si>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</si>
  <si>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</si>
  <si>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</si>
  <si>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</si>
  <si>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</si>
  <si>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</si>
  <si>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</si>
  <si>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</si>
  <si>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</si>
  <si>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</si>
  <si>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</si>
  <si>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</si>
  <si>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</si>
  <si>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</si>
  <si>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</si>
  <si>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</si>
  <si>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</si>
  <si>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</si>
  <si>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</si>
  <si>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</si>
  <si>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</si>
  <si>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</si>
  <si>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</si>
  <si>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</si>
  <si>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</si>
  <si>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</si>
  <si>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</si>
  <si>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</si>
  <si>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</si>
  <si>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</si>
  <si>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</si>
  <si>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</si>
  <si>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</si>
  <si>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</si>
  <si>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</si>
  <si>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</si>
  <si>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</si>
  <si>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</si>
  <si>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</si>
  <si>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</si>
  <si>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</si>
  <si>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</si>
  <si>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</si>
  <si>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</si>
  <si>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</si>
  <si>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</si>
  <si>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</si>
  <si>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</si>
  <si>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</si>
  <si>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</si>
  <si>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</si>
  <si>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</si>
  <si>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</si>
  <si>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</si>
  <si>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</si>
  <si>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</si>
  <si>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</si>
  <si>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</si>
  <si>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</si>
  <si>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</si>
  <si>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</si>
  <si>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</si>
  <si>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</si>
  <si>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</si>
  <si>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</si>
  <si>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</si>
  <si>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</si>
  <si>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</si>
  <si>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</si>
  <si>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</si>
  <si>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</si>
  <si>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</si>
  <si>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</si>
  <si>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</si>
  <si>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</si>
  <si>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</si>
  <si>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</si>
  <si>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</si>
  <si>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</si>
  <si>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</si>
  <si>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</si>
  <si>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</si>
  <si>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</si>
  <si>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</si>
  <si>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</si>
  <si>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</si>
  <si>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</si>
  <si>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</si>
  <si>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</si>
  <si>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</si>
  <si>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</si>
  <si>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</si>
  <si>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</si>
  <si>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</si>
  <si>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</si>
  <si>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</si>
  <si>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</si>
  <si>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</si>
  <si>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</si>
  <si>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</si>
  <si>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</si>
  <si>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</si>
  <si>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</si>
  <si>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</si>
  <si>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</si>
  <si>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</si>
  <si>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</si>
  <si>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</si>
  <si>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</si>
  <si>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</si>
  <si>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</si>
  <si>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</si>
  <si>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</si>
  <si>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</si>
  <si>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</si>
  <si>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</si>
  <si>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</si>
  <si>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</si>
  <si>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</si>
  <si>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</si>
  <si>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</si>
  <si>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</si>
  <si>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</si>
  <si>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</si>
  <si>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</si>
  <si>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</si>
  <si>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</si>
  <si>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</si>
  <si>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</si>
  <si>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</si>
  <si>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</si>
  <si>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</si>
  <si>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</si>
  <si>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</si>
  <si>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</si>
  <si>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</si>
  <si>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</si>
  <si>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</si>
  <si>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</si>
  <si>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</si>
  <si>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</si>
  <si>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</si>
  <si>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</si>
  <si>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</si>
  <si>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</si>
  <si>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</si>
  <si>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</si>
  <si>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</si>
  <si>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</si>
  <si>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</si>
  <si>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</si>
  <si>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</si>
  <si>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</si>
  <si>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</si>
  <si>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</si>
  <si>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</si>
  <si>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</si>
  <si>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</si>
  <si>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</si>
  <si>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</si>
  <si>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</si>
  <si>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</si>
  <si>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</si>
  <si>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</si>
  <si>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</si>
  <si>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</si>
  <si>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</si>
  <si>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</si>
  <si>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</si>
  <si>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</si>
  <si>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</si>
  <si>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</si>
  <si>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</si>
  <si>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</si>
  <si>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</si>
  <si>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</si>
  <si>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</si>
  <si>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</si>
  <si>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</si>
  <si>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</si>
  <si>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</si>
  <si>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</si>
  <si>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</si>
  <si>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</si>
  <si>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</si>
  <si>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</si>
  <si>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</si>
  <si>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</si>
  <si>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</si>
  <si>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</si>
  <si>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</si>
  <si>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</si>
  <si>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</si>
  <si>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</si>
  <si>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</si>
  <si>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</si>
  <si>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</si>
  <si>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</si>
  <si>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</si>
  <si>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</si>
  <si>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</si>
  <si>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</si>
  <si>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</si>
  <si>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</si>
  <si>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</si>
  <si>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</si>
  <si>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</si>
  <si>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</si>
  <si>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</si>
  <si>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</si>
  <si>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</si>
  <si>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</si>
  <si>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</si>
  <si>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</si>
  <si>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</si>
  <si>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</si>
  <si>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</si>
  <si>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</si>
  <si>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</si>
  <si>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</si>
  <si>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</si>
  <si>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</si>
  <si>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</si>
  <si>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</si>
  <si>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</si>
  <si>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</si>
  <si>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</si>
  <si>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</si>
  <si>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</si>
  <si>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</si>
  <si>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</si>
  <si>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</si>
  <si>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</si>
  <si>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</si>
  <si>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</si>
  <si>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</si>
  <si>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</si>
  <si>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</si>
  <si>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</si>
  <si>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</si>
  <si>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</si>
  <si>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</si>
  <si>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</si>
  <si>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</si>
  <si>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</si>
  <si>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</si>
  <si>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</si>
  <si>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</si>
  <si>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</si>
  <si>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</si>
  <si>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</si>
  <si>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</si>
  <si>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</si>
  <si>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</si>
  <si>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</si>
  <si>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</si>
  <si>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</si>
  <si>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</si>
  <si>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</si>
  <si>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</si>
  <si>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</si>
  <si>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</si>
  <si>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</si>
  <si>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</si>
  <si>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</si>
  <si>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</si>
  <si>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</si>
  <si>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</si>
  <si>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</si>
  <si>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</si>
  <si>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</si>
  <si>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</si>
  <si>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</si>
  <si>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</si>
  <si>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</si>
  <si>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</si>
  <si>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</si>
  <si>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</si>
  <si>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</si>
  <si>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</si>
  <si>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</si>
  <si>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</si>
  <si>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</si>
  <si>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</si>
  <si>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</si>
  <si>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</si>
  <si>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</si>
  <si>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</si>
  <si>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</si>
  <si>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</si>
  <si>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</si>
  <si>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</si>
  <si>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</si>
  <si>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</si>
  <si>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</si>
  <si>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</si>
  <si>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</si>
  <si>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</si>
  <si>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</si>
  <si>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</si>
  <si>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</si>
  <si>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</si>
  <si>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</si>
  <si>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</si>
  <si>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</si>
  <si>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</si>
  <si>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</si>
  <si>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</si>
  <si>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</si>
  <si>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</si>
  <si>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</si>
  <si>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</si>
  <si>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</si>
  <si>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</si>
  <si>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</si>
  <si>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</si>
  <si>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</si>
  <si>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</si>
  <si>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</si>
  <si>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</si>
  <si>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</si>
  <si>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</si>
  <si>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</si>
  <si>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</si>
  <si>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</si>
  <si>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</si>
  <si>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</si>
  <si>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</si>
  <si>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</si>
  <si>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</si>
  <si>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</si>
  <si>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</si>
  <si>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</si>
  <si>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</si>
  <si>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</si>
  <si>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</si>
  <si>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</si>
  <si>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</si>
  <si>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</si>
  <si>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</si>
  <si>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</si>
  <si>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</si>
  <si>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</si>
  <si>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</si>
  <si>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</si>
  <si>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</si>
  <si>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</si>
  <si>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</si>
  <si>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</si>
  <si>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</si>
  <si>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</si>
  <si>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</si>
  <si>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</si>
  <si>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</si>
  <si>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</si>
  <si>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</si>
  <si>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</si>
  <si>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</si>
  <si>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</si>
  <si>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</si>
  <si>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</si>
  <si>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</si>
  <si>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</si>
  <si>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</si>
  <si>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</si>
  <si>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</si>
  <si>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</si>
  <si>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</si>
  <si>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</si>
  <si>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</si>
  <si>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</si>
  <si>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</si>
  <si>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</si>
  <si>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</si>
  <si>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</si>
  <si>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</si>
  <si>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</si>
  <si>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</si>
  <si>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</si>
  <si>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</si>
  <si>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</si>
  <si>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</si>
  <si>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</si>
  <si>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</si>
  <si>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</si>
  <si>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</si>
  <si>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</si>
  <si>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</si>
  <si>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</si>
  <si>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</si>
  <si>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</si>
  <si>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</si>
  <si>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</si>
  <si>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</si>
  <si>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</si>
  <si>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</si>
  <si>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</si>
  <si>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</si>
  <si>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</si>
  <si>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</si>
  <si>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</si>
  <si>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</si>
  <si>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</si>
  <si>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</si>
  <si>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</si>
  <si>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</si>
  <si>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</si>
  <si>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</si>
  <si>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</si>
  <si>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</si>
  <si>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</si>
  <si>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</si>
  <si>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</si>
  <si>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</si>
  <si>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</si>
  <si>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</si>
  <si>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</si>
  <si>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</si>
  <si>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</si>
  <si>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</si>
  <si>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</si>
  <si>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</si>
  <si>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</si>
  <si>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</si>
  <si>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</si>
  <si>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</si>
  <si>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</si>
  <si>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</si>
  <si>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</si>
  <si>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</si>
  <si>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</si>
  <si>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</si>
  <si>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</si>
  <si>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</si>
  <si>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</si>
  <si>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</si>
  <si>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</si>
  <si>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</si>
  <si>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</si>
  <si>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</si>
  <si>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</si>
  <si>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</si>
  <si>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</si>
  <si>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</si>
  <si>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</si>
  <si>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</si>
  <si>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</si>
  <si>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</si>
  <si>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</si>
  <si>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</si>
  <si>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</si>
  <si>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</si>
  <si>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</si>
  <si>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</si>
  <si>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</si>
  <si>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</si>
  <si>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</si>
  <si>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</si>
  <si>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</si>
  <si>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</si>
  <si>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</si>
  <si>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</si>
  <si>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</si>
  <si>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</si>
  <si>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</si>
  <si>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</si>
  <si>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</si>
  <si>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</si>
  <si>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</si>
  <si>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</si>
  <si>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</si>
  <si>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</si>
  <si>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</si>
  <si>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</si>
  <si>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</si>
  <si>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</si>
  <si>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</si>
  <si>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</si>
  <si>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</si>
  <si>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</si>
  <si>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</si>
  <si>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</si>
  <si>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</si>
  <si>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</si>
  <si>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</si>
  <si>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</si>
  <si>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</si>
  <si>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</si>
  <si>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</si>
  <si>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</si>
  <si>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</si>
  <si>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</si>
  <si>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</si>
  <si>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</si>
  <si>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</si>
  <si>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</si>
  <si>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</si>
  <si>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</si>
  <si>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</si>
  <si>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</si>
  <si>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</si>
  <si>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</si>
  <si>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</si>
  <si>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</si>
  <si>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</si>
  <si>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</si>
  <si>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</si>
  <si>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</si>
  <si>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</si>
  <si>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</si>
  <si>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</si>
  <si>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</si>
  <si>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</si>
  <si>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</si>
  <si>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</si>
  <si>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</si>
  <si>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</si>
  <si>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</si>
  <si>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</si>
  <si>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</si>
  <si>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</si>
  <si>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</si>
  <si>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</si>
  <si>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</si>
  <si>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</si>
  <si>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</si>
  <si>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</si>
  <si>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</si>
  <si>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</si>
  <si>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</si>
  <si>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</si>
  <si>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</si>
  <si>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</si>
  <si>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</si>
  <si>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</si>
  <si>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</si>
  <si>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</si>
  <si>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</si>
  <si>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</si>
  <si>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</si>
  <si>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</si>
  <si>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</si>
  <si>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</si>
  <si>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</si>
  <si>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</si>
  <si>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</si>
  <si>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</si>
  <si>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</si>
  <si>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</si>
  <si>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</si>
  <si>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</si>
  <si>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</si>
  <si>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</si>
  <si>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</si>
  <si>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</si>
  <si>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</si>
  <si>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</si>
  <si>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</si>
  <si>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</si>
  <si>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</si>
  <si>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</si>
  <si>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</si>
  <si>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</si>
  <si>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</si>
  <si>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</si>
  <si>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</si>
  <si>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</si>
  <si>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</si>
  <si>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</si>
  <si>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</si>
  <si>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</si>
  <si>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</si>
  <si>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</si>
  <si>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</si>
  <si>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</si>
  <si>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</si>
  <si>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</si>
  <si>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</si>
  <si>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</si>
  <si>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</si>
  <si>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</si>
  <si>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</si>
  <si>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</si>
  <si>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</si>
  <si>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</si>
  <si>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</si>
  <si>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</si>
  <si>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</si>
  <si>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</si>
  <si>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</si>
  <si>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</si>
  <si>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</si>
  <si>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</si>
  <si>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</si>
  <si>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</si>
  <si>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</si>
  <si>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</si>
  <si>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</si>
  <si>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</si>
  <si>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</si>
  <si>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</si>
  <si>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</si>
  <si>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</si>
  <si>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</si>
  <si>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</si>
  <si>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</si>
  <si>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</si>
  <si>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</si>
  <si>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</si>
  <si>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</si>
  <si>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</si>
  <si>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</si>
  <si>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</si>
  <si>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</si>
  <si>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</si>
  <si>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</si>
  <si>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</si>
  <si>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</si>
  <si>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</si>
  <si>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</si>
  <si>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</si>
  <si>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</si>
  <si>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</si>
  <si>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</si>
  <si>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</si>
  <si>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</si>
  <si>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</si>
  <si>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</si>
  <si>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</si>
  <si>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</si>
  <si>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</si>
  <si>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</si>
  <si>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</si>
  <si>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</si>
  <si>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</si>
  <si>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</si>
  <si>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</si>
  <si>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</si>
  <si>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</si>
  <si>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</si>
  <si>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</si>
  <si>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</si>
  <si>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</si>
  <si>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</si>
  <si>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</si>
  <si>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</si>
  <si>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</si>
  <si>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</si>
  <si>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</si>
  <si>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</si>
  <si>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</si>
  <si>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</si>
  <si>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</si>
  <si>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</si>
  <si>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</si>
  <si>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</si>
  <si>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</si>
  <si>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</si>
  <si>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</si>
  <si>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</si>
  <si>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</si>
  <si>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</si>
  <si>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</si>
  <si>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</si>
  <si>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</si>
  <si>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</si>
  <si>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</si>
  <si>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</si>
  <si>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</si>
  <si>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</si>
  <si>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</si>
  <si>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</si>
  <si>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</si>
  <si>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</si>
  <si>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</si>
  <si>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</si>
  <si>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</si>
  <si>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</si>
  <si>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</si>
  <si>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</si>
  <si>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</si>
  <si>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</si>
  <si>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</si>
  <si>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</si>
  <si>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</si>
  <si>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</si>
  <si>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</si>
  <si>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</si>
  <si>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</si>
  <si>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</si>
  <si>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</si>
  <si>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</si>
  <si>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</si>
  <si>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</si>
  <si>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</si>
  <si>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</si>
  <si>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</si>
  <si>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</si>
  <si>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</si>
  <si>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</si>
  <si>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</si>
  <si>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</si>
  <si>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</si>
  <si>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</si>
  <si>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</si>
  <si>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</si>
  <si>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</si>
  <si>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</si>
  <si>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</si>
  <si>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</si>
  <si>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</si>
  <si>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</si>
  <si>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</si>
  <si>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</si>
  <si>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</si>
  <si>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</si>
  <si>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</si>
  <si>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</si>
  <si>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</si>
  <si>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</si>
  <si>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</si>
  <si>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</si>
  <si>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</si>
  <si>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</si>
  <si>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</si>
  <si>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</si>
  <si>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</si>
  <si>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</si>
  <si>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</si>
  <si>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</si>
  <si>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</si>
  <si>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</si>
  <si>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</si>
  <si>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</si>
  <si>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</si>
  <si>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</si>
  <si>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</si>
  <si>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</si>
  <si>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</si>
  <si>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</si>
  <si>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</si>
  <si>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</si>
  <si>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</si>
  <si>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</si>
  <si>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</si>
  <si>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</si>
  <si>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</si>
  <si>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</si>
  <si>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</si>
  <si>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</si>
  <si>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</si>
  <si>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</si>
  <si>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</si>
  <si>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</si>
  <si>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</si>
  <si>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</si>
  <si>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</si>
  <si>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</si>
  <si>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</si>
  <si>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</si>
  <si>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</si>
  <si>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</si>
  <si>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</si>
  <si>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</si>
  <si>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</si>
  <si>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</si>
  <si>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</si>
  <si>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</si>
  <si>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</si>
  <si>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</si>
  <si>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</si>
  <si>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</si>
  <si>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</si>
  <si>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</si>
  <si>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</si>
  <si>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</si>
  <si>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</si>
  <si>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</si>
  <si>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</si>
  <si>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</si>
  <si>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</si>
  <si>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</si>
  <si>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</si>
  <si>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</si>
  <si>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</si>
  <si>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</si>
  <si>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</si>
  <si>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</si>
  <si>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</si>
  <si>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</si>
  <si>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</si>
  <si>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</si>
  <si>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</si>
  <si>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</si>
  <si>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</si>
  <si>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</si>
  <si>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</si>
  <si>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</si>
  <si>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</si>
  <si>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</si>
  <si>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</si>
  <si>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</si>
  <si>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</si>
  <si>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</si>
  <si>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</si>
  <si>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</si>
  <si>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</si>
  <si>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</si>
  <si>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</si>
  <si>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</si>
  <si>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</si>
  <si>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</si>
  <si>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</si>
  <si>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</si>
  <si>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</si>
  <si>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</si>
  <si>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</si>
  <si>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</si>
  <si>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</si>
  <si>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</si>
  <si>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</si>
  <si>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</si>
  <si>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</si>
  <si>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</si>
  <si>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</si>
  <si>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</si>
  <si>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</si>
  <si>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</si>
  <si>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</si>
  <si>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</si>
  <si>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</si>
  <si>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</si>
  <si>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</si>
  <si>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</si>
  <si>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</si>
  <si>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</si>
  <si>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</si>
  <si>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</si>
  <si>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</si>
  <si>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</si>
  <si>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</si>
  <si>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</si>
  <si>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</si>
  <si>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</si>
  <si>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</si>
  <si>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</si>
  <si>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</si>
  <si>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</si>
  <si>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</si>
  <si>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</si>
  <si>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</si>
  <si>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</si>
  <si>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</si>
  <si>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</si>
  <si>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</si>
  <si>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</si>
  <si>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</si>
  <si>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</si>
  <si>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</si>
  <si>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</si>
  <si>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</si>
  <si>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</si>
  <si>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</si>
  <si>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</si>
  <si>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</si>
  <si>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</si>
  <si>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</si>
  <si>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</si>
  <si>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</si>
  <si>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</si>
  <si>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</si>
  <si>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</si>
  <si>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</si>
  <si>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</si>
  <si>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</si>
  <si>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</si>
  <si>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</si>
  <si>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</si>
  <si>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</si>
  <si>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</si>
  <si>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</si>
  <si>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</si>
  <si>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</si>
  <si>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</si>
  <si>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</si>
  <si>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</si>
  <si>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</si>
  <si>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</si>
  <si>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</si>
  <si>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</si>
  <si>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</si>
  <si>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</si>
  <si>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</si>
  <si>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</si>
  <si>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</si>
  <si>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</si>
  <si>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</si>
  <si>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</si>
  <si>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</si>
  <si>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</si>
  <si>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</si>
  <si>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</si>
  <si>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</si>
  <si>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</si>
  <si>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</si>
  <si>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</si>
  <si>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</si>
  <si>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</si>
  <si>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</si>
  <si>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</si>
  <si>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</si>
  <si>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</si>
  <si>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</si>
  <si>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</si>
  <si>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</si>
  <si>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</si>
  <si>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</si>
  <si>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</si>
  <si>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</si>
  <si>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</si>
  <si>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</si>
  <si>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</si>
  <si>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</si>
  <si>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</si>
  <si>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</si>
  <si>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</si>
  <si>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</si>
  <si>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</si>
  <si>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</si>
  <si>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</si>
  <si>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</si>
  <si>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</si>
  <si>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</si>
  <si>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</si>
  <si>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</si>
  <si>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</si>
  <si>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</si>
  <si>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</si>
  <si>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</si>
  <si>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</si>
  <si>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</si>
  <si>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</si>
  <si>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</si>
  <si>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</si>
  <si>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</si>
  <si>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</si>
  <si>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</si>
  <si>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</si>
  <si>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</si>
  <si>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</si>
  <si>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</si>
  <si>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</si>
  <si>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</si>
  <si>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</si>
  <si>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</si>
  <si>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</si>
  <si>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</si>
  <si>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</si>
  <si>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</si>
  <si>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</si>
  <si>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</si>
  <si>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</si>
  <si>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</si>
  <si>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</si>
  <si>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</si>
  <si>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</si>
  <si>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</si>
  <si>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</si>
  <si>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</si>
  <si>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</si>
  <si>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</si>
  <si>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</si>
  <si>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</si>
  <si>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</si>
  <si>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</si>
  <si>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</si>
  <si>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</si>
  <si>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</si>
  <si>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</si>
  <si>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</si>
  <si>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</si>
  <si>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</si>
  <si>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</si>
  <si>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</si>
  <si>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</si>
  <si>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</si>
  <si>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</si>
  <si>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</si>
  <si>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</si>
  <si>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</si>
  <si>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</si>
  <si>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</si>
  <si>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</si>
  <si>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</si>
  <si>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</si>
  <si>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</si>
  <si>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</si>
  <si>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</si>
  <si>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</si>
  <si>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</si>
  <si>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</si>
  <si>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</si>
  <si>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</si>
  <si>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</si>
  <si>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</si>
  <si>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</si>
  <si>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</si>
  <si>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</si>
  <si>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</si>
  <si>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</si>
  <si>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</si>
  <si>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</si>
  <si>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</si>
  <si>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</si>
  <si>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</si>
  <si>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</si>
  <si>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</si>
  <si>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</si>
  <si>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</si>
  <si>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</si>
  <si>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</si>
  <si>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</si>
  <si>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</si>
  <si>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</si>
  <si>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</si>
  <si>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</si>
  <si>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</si>
  <si>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</si>
  <si>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</si>
  <si>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</si>
  <si>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</si>
  <si>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</si>
  <si>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</si>
  <si>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</si>
  <si>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</si>
  <si>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</si>
  <si>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</si>
  <si>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</si>
  <si>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</si>
  <si>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</si>
  <si>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</si>
  <si>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</si>
  <si>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</si>
  <si>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</si>
  <si>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</si>
  <si>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</si>
  <si>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</si>
  <si>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</si>
  <si>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</si>
  <si>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</si>
  <si>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</si>
  <si>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</si>
  <si>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</si>
  <si>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</si>
  <si>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</si>
  <si>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</si>
  <si>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</si>
  <si>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</si>
  <si>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</si>
  <si>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</si>
  <si>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</si>
  <si>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</si>
  <si>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</si>
  <si>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</si>
  <si>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</si>
  <si>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</si>
  <si>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</si>
  <si>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</si>
  <si>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</si>
  <si>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</si>
  <si>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</si>
  <si>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</si>
  <si>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</si>
  <si>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</si>
  <si>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</si>
  <si>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</si>
  <si>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</si>
  <si>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</si>
  <si>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</si>
  <si>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</si>
  <si>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</si>
  <si>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</si>
  <si>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</si>
  <si>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</si>
  <si>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</si>
  <si>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</si>
  <si>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</si>
  <si>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</si>
  <si>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</si>
  <si>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</si>
  <si>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</si>
  <si>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</si>
  <si>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</si>
  <si>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</si>
  <si>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</si>
  <si>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</si>
  <si>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</si>
  <si>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</si>
  <si>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</si>
  <si>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</si>
  <si>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</si>
  <si>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</si>
  <si>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</si>
  <si>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</si>
  <si>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</si>
  <si>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</si>
  <si>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</si>
  <si>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</si>
  <si>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</si>
  <si>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</si>
  <si>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</si>
  <si>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</si>
  <si>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</si>
  <si>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</si>
  <si>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</si>
  <si>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</si>
  <si>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</si>
  <si>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</si>
  <si>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</si>
  <si>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</si>
  <si>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</si>
  <si>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</si>
  <si>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</si>
  <si>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</si>
  <si>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</si>
  <si>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</si>
  <si>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</si>
  <si>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</si>
  <si>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</si>
  <si>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</si>
  <si>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</si>
  <si>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</si>
  <si>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</si>
  <si>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</si>
  <si>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</si>
  <si>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</si>
  <si>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</si>
  <si>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</si>
  <si>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</si>
  <si>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</si>
  <si>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</si>
  <si>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</si>
  <si>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</si>
  <si>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</si>
  <si>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</si>
  <si>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</si>
  <si>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</si>
  <si>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</si>
  <si>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</si>
  <si>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</si>
  <si>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</si>
  <si>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</si>
  <si>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</si>
  <si>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</si>
  <si>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</si>
  <si>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</si>
  <si>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</si>
  <si>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</si>
  <si>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</si>
  <si>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</si>
  <si>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</si>
  <si>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</si>
  <si>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</si>
  <si>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</si>
  <si>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</si>
  <si>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</si>
  <si>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</si>
  <si>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</si>
  <si>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</si>
  <si>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</si>
  <si>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</si>
  <si>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</si>
  <si>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</si>
  <si>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</si>
  <si>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</si>
  <si>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</si>
  <si>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</si>
  <si>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</si>
  <si>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</si>
  <si>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</si>
  <si>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</si>
  <si>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</si>
  <si>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</si>
  <si>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</si>
  <si>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</si>
  <si>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</si>
  <si>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</si>
  <si>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</si>
  <si>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</si>
  <si>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</si>
  <si>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</si>
  <si>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</si>
  <si>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</si>
  <si>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</si>
  <si>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</si>
  <si>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</si>
  <si>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</si>
  <si>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</si>
  <si>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</si>
  <si>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</si>
  <si>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</si>
  <si>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</si>
  <si>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</si>
  <si>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</si>
  <si>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</si>
  <si>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</si>
  <si>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</si>
  <si>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</si>
  <si>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</si>
  <si>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</si>
  <si>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</si>
  <si>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</si>
  <si>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</si>
  <si>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</si>
  <si>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</si>
  <si>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</si>
  <si>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</si>
  <si>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</si>
  <si>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</si>
  <si>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</si>
  <si>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</si>
  <si>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</si>
  <si>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</si>
  <si>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</si>
  <si>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</si>
  <si>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</si>
  <si>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</si>
  <si>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</si>
  <si>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</si>
  <si>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</si>
  <si>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</si>
  <si>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</si>
  <si>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</si>
  <si>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</si>
  <si>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</si>
  <si>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</si>
  <si>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</si>
  <si>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</si>
  <si>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</si>
  <si>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</si>
  <si>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</si>
  <si>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</si>
  <si>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</si>
  <si>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</si>
  <si>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</si>
  <si>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</si>
  <si>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</si>
  <si>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</si>
  <si>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</si>
  <si>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</si>
  <si>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</si>
  <si>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</si>
  <si>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</si>
  <si>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</si>
  <si>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</si>
  <si>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</si>
  <si>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</si>
  <si>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</si>
  <si>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</si>
  <si>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</si>
  <si>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</si>
  <si>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</si>
  <si>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</si>
  <si>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</si>
  <si>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</si>
  <si>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</si>
  <si>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</si>
  <si>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</si>
  <si>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</si>
  <si>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</si>
  <si>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</si>
  <si>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</si>
  <si>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</si>
  <si>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</si>
  <si>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</si>
  <si>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</si>
  <si>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</si>
  <si>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</si>
  <si>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</si>
  <si>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</si>
  <si>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</si>
  <si>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</si>
  <si>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</si>
  <si>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</si>
  <si>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</si>
  <si>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</si>
  <si>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</si>
  <si>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</si>
  <si>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</si>
  <si>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</si>
  <si>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</si>
  <si>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</si>
  <si>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</si>
  <si>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</si>
  <si>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</si>
  <si>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</si>
  <si>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</si>
  <si>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</si>
  <si>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</si>
  <si>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</si>
  <si>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</si>
  <si>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</si>
  <si>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</si>
  <si>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</si>
  <si>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</si>
  <si>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</si>
  <si>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</si>
  <si>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</si>
  <si>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</si>
  <si>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</si>
  <si>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</si>
  <si>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</si>
  <si>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</si>
  <si>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</si>
  <si>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</si>
  <si>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</si>
  <si>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</si>
  <si>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</si>
  <si>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</si>
  <si>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</si>
  <si>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</si>
  <si>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</si>
  <si>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</si>
  <si>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</si>
  <si>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</si>
  <si>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</si>
  <si>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</si>
  <si>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</si>
  <si>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</si>
  <si>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</si>
  <si>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</si>
  <si>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</si>
  <si>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</si>
  <si>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</si>
  <si>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</si>
  <si>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</si>
  <si>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</si>
  <si>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</si>
  <si>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</si>
  <si>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</si>
  <si>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</si>
  <si>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</si>
  <si>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</si>
  <si>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</si>
  <si>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</si>
  <si>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</si>
  <si>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</si>
  <si>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</si>
  <si>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</si>
  <si>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</si>
  <si>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</si>
  <si>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</si>
  <si>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</si>
  <si>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</si>
  <si>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</si>
  <si>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</si>
  <si>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</si>
  <si>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</si>
  <si>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</si>
  <si>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</si>
  <si>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</si>
  <si>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</si>
  <si>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</si>
  <si>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</si>
  <si>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</si>
  <si>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</si>
  <si>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</si>
  <si>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</si>
  <si>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</si>
  <si>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</si>
  <si>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</si>
  <si>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</si>
  <si>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</si>
  <si>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</si>
  <si>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</si>
  <si>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</si>
  <si>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</si>
  <si>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</si>
  <si>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</si>
  <si>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</si>
  <si>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</si>
  <si>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</si>
  <si>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</si>
  <si>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</si>
  <si>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</si>
  <si>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</si>
  <si>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</si>
  <si>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</si>
  <si>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</si>
  <si>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</si>
  <si>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</si>
  <si>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</si>
  <si>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</si>
  <si>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</si>
  <si>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</si>
  <si>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</si>
  <si>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</si>
  <si>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</si>
  <si>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</si>
  <si>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</si>
  <si>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</si>
  <si>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</si>
  <si>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</si>
  <si>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</si>
  <si>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</si>
  <si>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</si>
  <si>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</si>
  <si>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</si>
  <si>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</si>
  <si>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</si>
  <si>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</si>
  <si>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</si>
  <si>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</si>
  <si>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</si>
  <si>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</si>
  <si>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</si>
  <si>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</si>
  <si>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</si>
  <si>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</si>
  <si>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</si>
  <si>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</si>
  <si>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</si>
  <si>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</si>
  <si>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</si>
  <si>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</si>
  <si>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</si>
  <si>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</si>
  <si>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</si>
  <si>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</si>
  <si>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</si>
  <si>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</si>
  <si>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</si>
  <si>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</si>
  <si>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</si>
  <si>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</si>
  <si>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</si>
  <si>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</si>
  <si>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</si>
  <si>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</si>
  <si>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</si>
  <si>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</si>
  <si>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</si>
  <si>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</si>
  <si>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</si>
  <si>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</si>
  <si>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</si>
  <si>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</si>
  <si>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</si>
  <si>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</si>
  <si>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</si>
  <si>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</si>
  <si>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</si>
  <si>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</si>
  <si>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</si>
  <si>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</si>
  <si>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</si>
  <si>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</si>
  <si>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</si>
  <si>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</si>
  <si>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</si>
  <si>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</si>
  <si>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</si>
  <si>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</si>
  <si>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</si>
  <si>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</si>
  <si>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</si>
  <si>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</si>
  <si>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</si>
  <si>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</si>
  <si>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</si>
  <si>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</si>
  <si>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</si>
  <si>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</si>
  <si>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</si>
  <si>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</si>
  <si>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</si>
  <si>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</si>
  <si>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</si>
  <si>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</si>
  <si>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</si>
  <si>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</si>
  <si>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</si>
  <si>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</si>
  <si>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</si>
  <si>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</si>
  <si>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</si>
  <si>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</si>
  <si>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</si>
  <si>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</si>
  <si>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</si>
  <si>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</si>
  <si>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</si>
  <si>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</si>
  <si>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</si>
  <si>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</si>
  <si>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</si>
  <si>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</si>
  <si>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</si>
  <si>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</si>
  <si>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</si>
  <si>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</si>
  <si>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</si>
  <si>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</si>
  <si>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</si>
  <si>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</si>
  <si>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</si>
  <si>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</si>
  <si>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</si>
  <si>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</si>
  <si>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</si>
  <si>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</si>
  <si>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</si>
  <si>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</si>
  <si>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</si>
  <si>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</si>
  <si>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</si>
  <si>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</si>
  <si>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</si>
  <si>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</si>
  <si>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</si>
  <si>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</si>
  <si>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</si>
  <si>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</si>
  <si>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</si>
  <si>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</si>
  <si>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</si>
  <si>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</si>
  <si>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</si>
  <si>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</si>
  <si>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</si>
  <si>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</si>
  <si>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</si>
  <si>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</si>
  <si>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</si>
  <si>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</si>
  <si>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</si>
  <si>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</si>
  <si>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</si>
  <si>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</si>
  <si>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</si>
  <si>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</si>
  <si>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</si>
  <si>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</si>
  <si>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</si>
  <si>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</si>
  <si>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</si>
  <si>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</si>
  <si>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</si>
  <si>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</si>
  <si>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</si>
  <si>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</si>
  <si>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</si>
  <si>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</si>
  <si>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</si>
  <si>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</si>
  <si>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</si>
  <si>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</si>
  <si>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</si>
  <si>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</si>
  <si>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</si>
  <si>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</si>
  <si>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</si>
  <si>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</si>
  <si>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</si>
  <si>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</si>
  <si>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</si>
  <si>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</si>
  <si>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</si>
  <si>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</si>
  <si>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</si>
  <si>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</si>
  <si>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</si>
  <si>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</si>
  <si>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</si>
  <si>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</si>
  <si>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</si>
  <si>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</si>
  <si>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</si>
  <si>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</si>
  <si>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</si>
  <si>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</si>
  <si>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</si>
  <si>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</si>
  <si>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</si>
  <si>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</si>
  <si>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</si>
  <si>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</si>
  <si>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</si>
  <si>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</si>
  <si>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</si>
  <si>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</si>
  <si>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</si>
  <si>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</si>
  <si>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</si>
  <si>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</si>
  <si>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</si>
  <si>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</si>
  <si>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</si>
  <si>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</si>
  <si>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</si>
  <si>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</si>
  <si>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</si>
  <si>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</si>
  <si>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</si>
  <si>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</si>
  <si>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</si>
  <si>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</si>
  <si>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</si>
  <si>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</si>
  <si>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</si>
  <si>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</si>
  <si>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</si>
  <si>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</si>
  <si>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</si>
  <si>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</si>
  <si>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</si>
  <si>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</si>
  <si>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</si>
  <si>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</si>
  <si>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</si>
  <si>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</si>
  <si>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</si>
  <si>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</si>
  <si>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</si>
  <si>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</si>
  <si>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</si>
  <si>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</si>
  <si>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</si>
  <si>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</si>
  <si>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</si>
  <si>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</si>
  <si>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</si>
  <si>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</si>
  <si>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</si>
  <si>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</si>
  <si>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</si>
  <si>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</si>
  <si>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</si>
  <si>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</si>
  <si>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</si>
  <si>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</si>
  <si>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</si>
  <si>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</si>
  <si>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</si>
  <si>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</si>
  <si>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</si>
  <si>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</si>
  <si>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</si>
  <si>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</si>
  <si>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</si>
  <si>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</si>
  <si>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</si>
  <si>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</si>
  <si>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</si>
  <si>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</si>
  <si>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</si>
  <si>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</si>
  <si>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</si>
  <si>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</si>
  <si>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</si>
  <si>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</si>
  <si>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</si>
  <si>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</si>
  <si>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</si>
  <si>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</si>
  <si>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</si>
  <si>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</si>
  <si>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</si>
  <si>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</si>
  <si>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</si>
  <si>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</si>
  <si>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</si>
  <si>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</si>
  <si>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</si>
  <si>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</si>
  <si>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</si>
  <si>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</si>
  <si>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</si>
  <si>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</si>
  <si>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</si>
  <si>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</si>
  <si>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</si>
  <si>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</si>
  <si>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</si>
  <si>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</si>
  <si>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</si>
  <si>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</si>
  <si>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</si>
  <si>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</si>
  <si>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</si>
  <si>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</si>
  <si>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</si>
  <si>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</si>
  <si>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</si>
  <si>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</si>
  <si>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</si>
  <si>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</si>
  <si>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</si>
  <si>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</si>
  <si>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</si>
  <si>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</si>
  <si>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</si>
  <si>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</si>
  <si>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</si>
  <si>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</si>
  <si>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</si>
  <si>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</si>
  <si>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</si>
  <si>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</si>
  <si>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</si>
  <si>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</si>
  <si>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</si>
  <si>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</si>
  <si>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</si>
  <si>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</si>
  <si>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</si>
  <si>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</si>
  <si>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</si>
  <si>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</si>
  <si>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</si>
  <si>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</si>
  <si>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</si>
  <si>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</si>
  <si>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</si>
  <si>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</si>
  <si>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</si>
  <si>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</si>
  <si>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</si>
  <si>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</si>
  <si>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</si>
  <si>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</si>
  <si>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</si>
  <si>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</si>
  <si>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</si>
  <si>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</si>
  <si>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</si>
  <si>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</si>
  <si>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</si>
  <si>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</si>
  <si>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</si>
  <si>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</si>
  <si>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</si>
  <si>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</si>
  <si>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</si>
  <si>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</si>
  <si>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</si>
  <si>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</si>
  <si>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</si>
  <si>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</si>
  <si>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</si>
  <si>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</si>
  <si>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</si>
  <si>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</si>
  <si>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</si>
  <si>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</si>
  <si>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</si>
  <si>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</si>
  <si>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</si>
  <si>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</si>
  <si>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</si>
  <si>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</si>
  <si>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</si>
  <si>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</si>
  <si>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</si>
  <si>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</si>
  <si>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</si>
  <si>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</si>
  <si>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</si>
  <si>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</si>
  <si>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</si>
  <si>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</si>
  <si>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</si>
  <si>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</si>
  <si>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</si>
  <si>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</si>
  <si>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</si>
  <si>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</si>
  <si>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</si>
  <si>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</si>
  <si>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</si>
  <si>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</si>
  <si>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</si>
  <si>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</si>
  <si>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</si>
  <si>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</si>
  <si>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</si>
  <si>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</si>
  <si>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</si>
  <si>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</si>
  <si>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</si>
  <si>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</si>
  <si>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</si>
  <si>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</si>
  <si>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</si>
  <si>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</si>
  <si>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</si>
  <si>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</si>
  <si>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</si>
  <si>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</si>
  <si>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</si>
  <si>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</si>
  <si>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</si>
  <si>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</si>
  <si>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</si>
  <si>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</si>
  <si>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</si>
  <si>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</si>
  <si>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</si>
  <si>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</si>
  <si>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</si>
  <si>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</si>
  <si>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</si>
  <si>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</si>
  <si>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</si>
  <si>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</si>
  <si>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</si>
  <si>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</si>
  <si>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</si>
  <si>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</si>
  <si>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</si>
  <si>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</si>
  <si>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</si>
  <si>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</si>
  <si>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</si>
  <si>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</si>
  <si>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</si>
  <si>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</si>
  <si>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</si>
  <si>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</si>
  <si>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</si>
  <si>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</si>
  <si>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</si>
  <si>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</si>
  <si>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</si>
  <si>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</si>
  <si>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</si>
  <si>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</si>
  <si>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</si>
  <si>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</si>
  <si>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</si>
  <si>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</si>
  <si>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</si>
  <si>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</si>
  <si>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</si>
  <si>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</si>
  <si>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</si>
  <si>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</si>
  <si>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</si>
  <si>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</si>
  <si>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</si>
  <si>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</si>
  <si>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</si>
  <si>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</si>
  <si>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</si>
  <si>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</si>
  <si>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</si>
  <si>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</si>
  <si>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</si>
  <si>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</si>
  <si>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</si>
  <si>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</si>
  <si>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</si>
  <si>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</si>
  <si>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</si>
  <si>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</si>
  <si>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</si>
  <si>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</si>
  <si>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</si>
  <si>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</si>
  <si>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</si>
  <si>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</si>
  <si>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</si>
  <si>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</si>
  <si>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</si>
  <si>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</si>
  <si>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</si>
  <si>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</si>
  <si>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</si>
  <si>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</si>
  <si>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</si>
  <si>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</si>
  <si>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</si>
  <si>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</si>
  <si>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</si>
  <si>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</si>
  <si>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</si>
  <si>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</si>
  <si>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</si>
  <si>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</si>
  <si>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</si>
  <si>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</si>
  <si>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</si>
  <si>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</si>
  <si>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</si>
  <si>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</si>
  <si>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</si>
  <si>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</si>
  <si>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</si>
  <si>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</si>
  <si>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</si>
  <si>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</si>
  <si>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</si>
  <si>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</si>
  <si>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</si>
  <si>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</si>
  <si>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</si>
  <si>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</si>
  <si>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</si>
  <si>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</si>
  <si>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</si>
  <si>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</si>
  <si>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</si>
  <si>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</si>
  <si>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</si>
  <si>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</si>
  <si>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</si>
  <si>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</si>
  <si>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</si>
  <si>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</si>
  <si>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</si>
  <si>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</si>
  <si>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</si>
  <si>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</si>
  <si>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</si>
  <si>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</si>
  <si>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</si>
  <si>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</si>
  <si>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</si>
  <si>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</si>
  <si>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</si>
  <si>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</si>
  <si>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</si>
  <si>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</si>
  <si>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</si>
  <si>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</si>
  <si>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</si>
  <si>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</si>
  <si>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</si>
  <si>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</si>
  <si>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</si>
  <si>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</si>
  <si>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</si>
  <si>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</si>
  <si>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</si>
  <si>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</si>
  <si>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</si>
  <si>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</si>
  <si>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</si>
  <si>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</si>
  <si>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</si>
  <si>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</si>
  <si>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</si>
  <si>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</si>
  <si>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</si>
  <si>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</si>
  <si>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</si>
  <si>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</si>
  <si>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</si>
  <si>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</si>
  <si>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</si>
  <si>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</si>
  <si>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</si>
  <si>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</si>
  <si>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</si>
  <si>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</si>
  <si>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</si>
  <si>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</si>
  <si>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</si>
  <si>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</si>
  <si>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</si>
  <si>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</si>
  <si>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</si>
  <si>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</si>
  <si>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</si>
  <si>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</si>
  <si>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</si>
  <si>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</si>
  <si>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</si>
  <si>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</si>
  <si>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</si>
  <si>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</si>
  <si>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</si>
  <si>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</si>
  <si>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</si>
  <si>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</si>
  <si>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</si>
  <si>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</si>
  <si>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</si>
  <si>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</si>
  <si>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</si>
  <si>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</si>
  <si>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</si>
  <si>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</si>
  <si>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</si>
  <si>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</si>
  <si>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</si>
  <si>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</si>
  <si>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</si>
  <si>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</si>
  <si>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</si>
  <si>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</si>
  <si>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</si>
  <si>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</si>
  <si>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</si>
  <si>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</si>
  <si>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</si>
  <si>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</si>
  <si>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</si>
  <si>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</si>
  <si>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</si>
  <si>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</si>
  <si>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</si>
  <si>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</si>
  <si>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</si>
  <si>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</si>
  <si>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</si>
  <si>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</si>
  <si>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</si>
  <si>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</si>
  <si>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</si>
  <si>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</si>
  <si>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</si>
  <si>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</si>
  <si>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</si>
  <si>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</si>
  <si>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</si>
  <si>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</si>
  <si>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</si>
  <si>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</si>
  <si>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</si>
  <si>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</si>
  <si>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</si>
  <si>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</si>
  <si>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</si>
  <si>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</si>
  <si>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</si>
  <si>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</si>
  <si>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</si>
  <si>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</si>
  <si>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</si>
  <si>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</si>
  <si>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</si>
  <si>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</si>
  <si>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</si>
  <si>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</si>
  <si>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</si>
  <si>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</si>
  <si>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</si>
  <si>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</si>
  <si>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</si>
  <si>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</si>
  <si>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</si>
  <si>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</si>
  <si>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</si>
  <si>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</si>
  <si>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</si>
  <si>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</si>
  <si>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</si>
  <si>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</si>
  <si>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</si>
  <si>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</si>
  <si>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</si>
  <si>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</si>
  <si>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</si>
  <si>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</si>
  <si>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</si>
  <si>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</si>
  <si>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</si>
  <si>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</si>
  <si>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</si>
  <si>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</si>
  <si>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</si>
  <si>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</si>
  <si>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</si>
  <si>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</si>
  <si>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</si>
  <si>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</si>
  <si>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</si>
  <si>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</si>
  <si>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</si>
  <si>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</si>
  <si>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</si>
  <si>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</si>
  <si>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</si>
  <si>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</si>
  <si>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</si>
  <si>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</si>
  <si>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</si>
  <si>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</si>
  <si>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</si>
  <si>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</si>
  <si>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</si>
  <si>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</si>
  <si>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</si>
  <si>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</si>
  <si>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</si>
  <si>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</si>
  <si>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</si>
  <si>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</si>
  <si>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</si>
  <si>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</si>
  <si>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</si>
  <si>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</si>
  <si>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</si>
  <si>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</si>
  <si>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</si>
  <si>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</si>
  <si>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</si>
  <si>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</si>
  <si>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</si>
  <si>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</si>
  <si>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</si>
  <si>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</si>
  <si>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</si>
  <si>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</si>
  <si>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</si>
  <si>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</si>
  <si>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</si>
  <si>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</si>
  <si>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</si>
  <si>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</si>
  <si>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</si>
  <si>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</si>
  <si>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</si>
  <si>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</si>
  <si>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</si>
  <si>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</si>
  <si>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</si>
  <si>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</si>
  <si>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</si>
  <si>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</si>
  <si>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</si>
  <si>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</si>
  <si>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</si>
  <si>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</si>
  <si>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</si>
  <si>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</si>
  <si>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</si>
  <si>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</si>
  <si>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</si>
  <si>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</si>
  <si>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</si>
  <si>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</si>
  <si>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</si>
  <si>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</si>
  <si>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</si>
  <si>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</si>
  <si>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</si>
  <si>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</si>
  <si>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</si>
  <si>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</si>
  <si>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</si>
  <si>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</si>
  <si>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</si>
  <si>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</si>
  <si>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</si>
  <si>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</si>
  <si>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</si>
  <si>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</si>
  <si>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</si>
  <si>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</si>
  <si>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</si>
  <si>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</si>
  <si>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</si>
  <si>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</si>
  <si>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</si>
  <si>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</si>
  <si>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</si>
  <si>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</si>
  <si>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</si>
  <si>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</si>
  <si>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</si>
  <si>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</si>
  <si>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</si>
  <si>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</si>
  <si>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</si>
  <si>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</si>
  <si>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</si>
  <si>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</si>
  <si>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</si>
  <si>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</si>
  <si>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</si>
  <si>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</si>
  <si>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</si>
  <si>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</si>
  <si>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</si>
  <si>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</si>
  <si>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</si>
  <si>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</si>
  <si>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</si>
  <si>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</si>
  <si>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</si>
  <si>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</si>
  <si>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</si>
  <si>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</si>
  <si>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</si>
  <si>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</si>
  <si>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</si>
  <si>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</si>
  <si>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</si>
  <si>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</si>
  <si>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</si>
  <si>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</si>
  <si>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</si>
  <si>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</si>
  <si>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</si>
  <si>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</si>
  <si>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</si>
  <si>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</si>
  <si>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</si>
  <si>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</si>
  <si>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</si>
  <si>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</si>
  <si>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</si>
  <si>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</si>
  <si>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</si>
  <si>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</si>
  <si>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</si>
  <si>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</si>
  <si>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</si>
  <si>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</si>
  <si>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</si>
  <si>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</si>
  <si>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</si>
  <si>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</si>
  <si>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</si>
  <si>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</si>
  <si>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</si>
  <si>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</si>
  <si>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</si>
  <si>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</si>
  <si>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</si>
  <si>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</si>
  <si>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</si>
  <si>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</si>
  <si>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</si>
  <si>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</si>
  <si>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</si>
  <si>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</si>
  <si>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</si>
  <si>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</si>
  <si>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</si>
  <si>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</si>
  <si>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</si>
  <si>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</si>
  <si>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</si>
  <si>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</si>
  <si>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</si>
  <si>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</si>
  <si>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</si>
  <si>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</si>
  <si>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</si>
  <si>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</si>
  <si>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</si>
  <si>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</si>
  <si>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</si>
  <si>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</si>
  <si>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</si>
  <si>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</si>
  <si>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</si>
  <si>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</si>
  <si>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</si>
  <si>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</si>
  <si>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</si>
  <si>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</si>
  <si>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</si>
  <si>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</si>
  <si>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</si>
  <si>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</si>
  <si>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</si>
  <si>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</si>
  <si>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</si>
  <si>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</si>
  <si>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</si>
  <si>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</si>
  <si>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</si>
  <si>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</si>
  <si>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</si>
  <si>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</si>
  <si>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</si>
  <si>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</si>
  <si>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</si>
  <si>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</si>
  <si>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</si>
  <si>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</si>
  <si>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</si>
  <si>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</si>
  <si>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</si>
  <si>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</si>
  <si>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</si>
  <si>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</si>
  <si>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</si>
  <si>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</si>
  <si>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</si>
  <si>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</si>
  <si>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</si>
  <si>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</si>
  <si>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</si>
  <si>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</si>
  <si>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</si>
  <si>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</si>
  <si>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</si>
  <si>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</si>
  <si>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</si>
  <si>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</si>
  <si>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</si>
  <si>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</si>
  <si>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</si>
  <si>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</si>
  <si>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</si>
  <si>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</si>
  <si>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</si>
  <si>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</si>
  <si>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</si>
  <si>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</si>
  <si>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</si>
  <si>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</si>
  <si>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</si>
  <si>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</si>
  <si>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</si>
  <si>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</si>
  <si>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</si>
  <si>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</si>
  <si>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</si>
  <si>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</si>
  <si>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</si>
  <si>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</si>
  <si>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</si>
  <si>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</si>
  <si>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</si>
  <si>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</si>
  <si>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</si>
  <si>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</si>
  <si>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</si>
  <si>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</si>
  <si>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</si>
  <si>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</si>
  <si>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</si>
  <si>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</si>
  <si>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</si>
  <si>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</si>
  <si>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</si>
  <si>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</si>
  <si>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</si>
  <si>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</si>
  <si>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</si>
  <si>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</si>
  <si>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</si>
  <si>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</si>
  <si>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</si>
  <si>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</si>
  <si>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</si>
  <si>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</si>
  <si>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</si>
  <si>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</si>
  <si>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</si>
  <si>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</si>
  <si>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</si>
  <si>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</si>
  <si>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</si>
  <si>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</si>
  <si>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</si>
  <si>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</si>
  <si>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</si>
  <si>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</si>
  <si>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</si>
  <si>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</si>
  <si>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</si>
  <si>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</si>
  <si>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</si>
  <si>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</si>
  <si>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</si>
  <si>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</si>
  <si>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</si>
  <si>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</si>
  <si>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</si>
  <si>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</si>
  <si>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</si>
  <si>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</si>
  <si>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</si>
  <si>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</si>
  <si>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</si>
  <si>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</si>
  <si>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</si>
  <si>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</si>
  <si>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</si>
  <si>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</si>
  <si>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</si>
  <si>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</si>
  <si>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</si>
  <si>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</si>
  <si>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</si>
  <si>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</si>
  <si>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</si>
  <si>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</si>
  <si>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</si>
  <si>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</si>
  <si>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</si>
  <si>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</si>
  <si>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</si>
  <si>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</si>
  <si>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</si>
  <si>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</si>
  <si>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</si>
  <si>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</si>
  <si>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</si>
  <si>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</si>
  <si>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</si>
  <si>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</si>
  <si>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</si>
  <si>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</si>
  <si>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</si>
  <si>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</si>
  <si>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</si>
  <si>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</si>
  <si>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</si>
  <si>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</si>
  <si>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</si>
  <si>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</si>
  <si>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</si>
  <si>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</si>
  <si>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</si>
  <si>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</si>
  <si>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</si>
  <si>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</si>
  <si>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</si>
  <si>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</si>
  <si>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</si>
  <si>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</si>
  <si>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</si>
  <si>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</si>
  <si>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</si>
  <si>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</si>
  <si>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</si>
  <si>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</si>
  <si>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</si>
  <si>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</si>
  <si>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</si>
  <si>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</si>
  <si>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</si>
  <si>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</si>
  <si>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</si>
  <si>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</si>
  <si>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</si>
  <si>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</si>
  <si>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</si>
  <si>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</si>
  <si>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</si>
  <si>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</si>
  <si>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</si>
  <si>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</si>
  <si>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</si>
  <si>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</si>
  <si>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</si>
  <si>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</si>
  <si>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</si>
  <si>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</si>
  <si>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</si>
  <si>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</si>
  <si>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</si>
  <si>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</si>
  <si>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</si>
  <si>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</si>
  <si>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</si>
  <si>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</si>
  <si>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</si>
  <si>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</si>
  <si>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</si>
  <si>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</si>
  <si>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</si>
  <si>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</si>
  <si>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</si>
  <si>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</si>
  <si>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</si>
  <si>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</si>
  <si>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</si>
  <si>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</si>
  <si>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</si>
  <si>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</si>
  <si>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</si>
  <si>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</si>
  <si>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</si>
  <si>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</si>
  <si>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</si>
  <si>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</si>
  <si>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</si>
  <si>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</si>
  <si>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</si>
  <si>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</si>
  <si>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</si>
  <si>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</si>
  <si>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</si>
  <si>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</si>
  <si>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</si>
  <si>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</si>
  <si>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</si>
  <si>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</si>
  <si>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</si>
  <si>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</si>
  <si>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</si>
  <si>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</si>
  <si>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</si>
  <si>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</si>
  <si>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</si>
  <si>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</si>
  <si>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</si>
  <si>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</si>
  <si>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</si>
  <si>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</si>
  <si>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</si>
  <si>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</si>
  <si>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</si>
  <si>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</si>
  <si>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</si>
  <si>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</si>
  <si>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</si>
  <si>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</si>
  <si>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</si>
  <si>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</si>
  <si>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</si>
  <si>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</si>
  <si>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</si>
  <si>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</si>
  <si>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</si>
  <si>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</si>
  <si>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</si>
  <si>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</si>
  <si>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</si>
  <si>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</si>
  <si>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</si>
  <si>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</si>
  <si>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</si>
  <si>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</si>
  <si>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</si>
  <si>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</si>
  <si>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</si>
  <si>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</si>
  <si>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</si>
  <si>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</si>
  <si>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</si>
  <si>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</si>
  <si>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</si>
  <si>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</si>
  <si>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</si>
  <si>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</si>
  <si>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</si>
  <si>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</si>
  <si>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</si>
  <si>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</si>
  <si>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</si>
  <si>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</si>
  <si>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</si>
  <si>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</si>
  <si>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</si>
  <si>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</si>
  <si>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</si>
  <si>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</si>
  <si>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</si>
  <si>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</si>
  <si>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</si>
  <si>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</si>
  <si>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</si>
  <si>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</si>
  <si>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</si>
  <si>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</si>
  <si>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</si>
  <si>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</si>
  <si>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</si>
  <si>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</si>
  <si>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</si>
  <si>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</si>
  <si>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</si>
  <si>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</si>
  <si>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</si>
  <si>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</si>
  <si>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</si>
  <si>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</si>
  <si>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</si>
  <si>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</si>
  <si>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</si>
  <si>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</si>
  <si>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</si>
  <si>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</si>
  <si>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</si>
  <si>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</si>
  <si>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</si>
  <si>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</si>
  <si>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</si>
  <si>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</si>
  <si>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</si>
  <si>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</si>
  <si>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</si>
  <si>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</si>
  <si>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</si>
  <si>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</si>
  <si>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</si>
  <si>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</si>
  <si>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</si>
  <si>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</si>
  <si>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</si>
  <si>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</si>
  <si>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</si>
  <si>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</si>
  <si>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</si>
  <si>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</si>
  <si>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</si>
  <si>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</si>
  <si>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</si>
  <si>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</si>
  <si>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</si>
  <si>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</si>
  <si>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</si>
  <si>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</si>
  <si>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</si>
  <si>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</si>
  <si>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</si>
  <si>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</si>
  <si>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</si>
  <si>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</si>
  <si>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</si>
  <si>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</si>
  <si>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</si>
  <si>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</si>
  <si>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</si>
  <si>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</si>
  <si>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</si>
  <si>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</si>
  <si>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</si>
  <si>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</si>
  <si>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</si>
  <si>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</si>
  <si>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</si>
  <si>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</si>
  <si>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</si>
  <si>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</si>
  <si>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</si>
  <si>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</si>
  <si>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</si>
  <si>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</si>
  <si>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</si>
  <si>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</si>
  <si>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</si>
  <si>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</si>
  <si>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</si>
  <si>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</si>
  <si>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</si>
  <si>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</si>
  <si>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</si>
  <si>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</si>
  <si>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</si>
  <si>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</si>
  <si>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</si>
  <si>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</si>
  <si>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</si>
  <si>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</si>
  <si>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</si>
  <si>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</si>
  <si>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</si>
  <si>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</si>
  <si>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</si>
  <si>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</si>
  <si>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</si>
  <si>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</si>
  <si>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</si>
  <si>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</si>
  <si>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</si>
  <si>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</si>
  <si>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</si>
  <si>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</si>
  <si>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</si>
  <si>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</si>
  <si>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</si>
  <si>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</si>
  <si>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</si>
  <si>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</si>
  <si>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</si>
  <si>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</si>
  <si>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</si>
  <si>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</si>
  <si>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</si>
  <si>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</si>
  <si>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</si>
  <si>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</si>
  <si>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</si>
  <si>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</si>
  <si>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</si>
  <si>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</si>
  <si>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</si>
  <si>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</si>
  <si>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</si>
  <si>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</si>
  <si>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</si>
  <si>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</si>
  <si>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</si>
  <si>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</si>
  <si>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</si>
  <si>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</si>
  <si>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</si>
  <si>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</si>
  <si>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</si>
  <si>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</si>
  <si>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</si>
  <si>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</si>
  <si>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</si>
  <si>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</si>
  <si>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</si>
  <si>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</si>
  <si>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</si>
  <si>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</si>
  <si>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</si>
  <si>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</si>
  <si>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</si>
  <si>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</si>
  <si>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</si>
  <si>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</si>
  <si>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</si>
  <si>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</si>
  <si>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</si>
  <si>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</si>
  <si>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</si>
  <si>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</si>
  <si>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</si>
  <si>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</si>
  <si>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</si>
  <si>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</si>
  <si>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</si>
  <si>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</si>
  <si>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</si>
  <si>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</si>
  <si>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</si>
  <si>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</si>
  <si>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</si>
  <si>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</si>
  <si>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</si>
  <si>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</si>
  <si>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</si>
  <si>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</si>
  <si>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</si>
  <si>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</si>
  <si>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</si>
  <si>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</si>
  <si>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</si>
  <si>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</si>
  <si>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</si>
  <si>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</si>
  <si>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</si>
  <si>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</si>
  <si>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</si>
  <si>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</si>
  <si>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</si>
  <si>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</si>
  <si>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</si>
  <si>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</si>
  <si>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</si>
  <si>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</si>
  <si>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</si>
  <si>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</si>
  <si>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</si>
  <si>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</si>
  <si>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</si>
  <si>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</si>
  <si>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</si>
  <si>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</si>
  <si>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</si>
  <si>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</si>
  <si>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</si>
  <si>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</si>
  <si>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</si>
  <si>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</si>
  <si>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</si>
  <si>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</si>
  <si>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</si>
  <si>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</si>
  <si>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</si>
  <si>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</si>
  <si>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</si>
  <si>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</si>
  <si>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</si>
  <si>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</si>
  <si>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</si>
  <si>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</si>
  <si>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</si>
  <si>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</si>
  <si>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</si>
  <si>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</si>
  <si>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</si>
  <si>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</si>
  <si>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</si>
  <si>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</si>
  <si>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</si>
  <si>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</si>
  <si>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</si>
  <si>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</si>
  <si>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</si>
  <si>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</si>
  <si>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</si>
  <si>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</si>
  <si>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</si>
  <si>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</si>
  <si>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</si>
  <si>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</si>
  <si>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</si>
  <si>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</si>
  <si>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</si>
  <si>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</si>
  <si>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</si>
  <si>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</si>
  <si>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</si>
  <si>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</si>
  <si>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</si>
  <si>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</si>
  <si>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</si>
  <si>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</si>
  <si>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</si>
  <si>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</si>
  <si>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</si>
  <si>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</si>
  <si>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</si>
  <si>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</si>
  <si>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</si>
  <si>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</si>
  <si>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</si>
  <si>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</si>
  <si>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</si>
  <si>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</si>
  <si>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</si>
  <si>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</si>
  <si>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</si>
  <si>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</si>
  <si>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</si>
  <si>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</si>
  <si>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</si>
  <si>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</si>
  <si>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</si>
  <si>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</si>
  <si>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</si>
  <si>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</si>
  <si>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</si>
  <si>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</si>
  <si>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</si>
  <si>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</si>
  <si>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</si>
  <si>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</si>
  <si>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</si>
  <si>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</si>
  <si>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</si>
  <si>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</si>
  <si>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</si>
  <si>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</si>
  <si>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</si>
  <si>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</si>
  <si>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</si>
  <si>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</si>
  <si>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</si>
  <si>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</si>
  <si>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</si>
  <si>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</si>
  <si>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</si>
  <si>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</si>
  <si>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</si>
  <si>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</si>
  <si>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</si>
  <si>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</si>
  <si>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</si>
  <si>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</si>
  <si>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</si>
  <si>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</si>
  <si>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</si>
  <si>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</si>
  <si>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</si>
  <si>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</si>
  <si>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</si>
  <si>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</si>
  <si>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</si>
  <si>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</si>
  <si>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</si>
  <si>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</si>
  <si>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</si>
  <si>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</si>
  <si>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</si>
  <si>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</si>
  <si>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</si>
  <si>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</si>
  <si>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</si>
  <si>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</si>
  <si>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</si>
  <si>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</si>
  <si>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</si>
  <si>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</si>
  <si>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</si>
  <si>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</si>
  <si>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</si>
  <si>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</si>
  <si>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</si>
  <si>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</si>
  <si>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</si>
  <si>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</si>
  <si>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</si>
  <si>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</si>
  <si>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</si>
  <si>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</si>
  <si>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</si>
  <si>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</si>
  <si>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</si>
  <si>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</si>
  <si>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</si>
  <si>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</si>
  <si>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</si>
  <si>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</si>
  <si>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</si>
  <si>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</si>
  <si>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</si>
  <si>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</si>
  <si>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</si>
  <si>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</si>
  <si>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</si>
  <si>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</si>
  <si>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</si>
  <si>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</si>
  <si>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</si>
  <si>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</si>
  <si>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</si>
  <si>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</si>
  <si>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</si>
  <si>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</si>
  <si>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</si>
  <si>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</si>
  <si>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</si>
  <si>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</si>
  <si>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</si>
  <si>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</si>
  <si>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</si>
  <si>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</si>
  <si>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</si>
  <si>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</si>
  <si>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</si>
  <si>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</si>
  <si>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</si>
  <si>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</si>
  <si>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</si>
  <si>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</si>
  <si>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</si>
  <si>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</si>
  <si>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</si>
  <si>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</si>
  <si>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</si>
  <si>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</si>
  <si>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</si>
  <si>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</si>
  <si>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</si>
  <si>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</si>
  <si>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</si>
  <si>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</si>
  <si>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</si>
  <si>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</si>
  <si>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</si>
  <si>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</si>
  <si>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</si>
  <si>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</si>
  <si>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</si>
  <si>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</si>
  <si>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</si>
  <si>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</si>
  <si>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</si>
  <si>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</si>
  <si>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</si>
  <si>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</si>
  <si>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</si>
  <si>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</si>
  <si>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</si>
  <si>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</si>
  <si>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</si>
  <si>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</si>
  <si>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</si>
  <si>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</si>
  <si>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</si>
  <si>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</si>
  <si>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</si>
  <si>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</si>
  <si>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</si>
  <si>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</si>
  <si>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</si>
  <si>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</si>
  <si>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</si>
  <si>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</si>
  <si>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</si>
  <si>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</si>
  <si>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</si>
  <si>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</si>
  <si>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</si>
  <si>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</si>
  <si>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</si>
  <si>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</si>
  <si>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</si>
  <si>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</si>
  <si>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</si>
  <si>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</si>
  <si>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</si>
  <si>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</si>
  <si>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</si>
  <si>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</si>
  <si>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</si>
  <si>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</si>
  <si>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</si>
  <si>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</si>
  <si>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</si>
  <si>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</si>
  <si>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</si>
  <si>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</si>
  <si>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</si>
  <si>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</si>
  <si>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</si>
  <si>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</si>
  <si>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</si>
  <si>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</si>
  <si>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</si>
  <si>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</si>
  <si>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</si>
  <si>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</si>
  <si>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</si>
  <si>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</si>
  <si>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</si>
  <si>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</si>
  <si>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</si>
  <si>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</si>
  <si>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</si>
  <si>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</si>
  <si>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</si>
  <si>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</si>
  <si>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</si>
  <si>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</si>
  <si>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</si>
  <si>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</si>
  <si>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</si>
  <si>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</si>
  <si>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</si>
  <si>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</si>
  <si>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</si>
  <si>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</si>
  <si>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</si>
  <si>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</si>
  <si>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</si>
  <si>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</si>
  <si>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</si>
  <si>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</si>
  <si>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</si>
  <si>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</si>
  <si>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</si>
  <si>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</si>
  <si>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</si>
  <si>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</si>
  <si>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</si>
  <si>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</si>
  <si>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</si>
  <si>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</si>
  <si>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</si>
  <si>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</si>
  <si>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</si>
  <si>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</si>
  <si>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</si>
  <si>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</si>
  <si>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</si>
  <si>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</si>
  <si>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</si>
  <si>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</si>
  <si>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</si>
  <si>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</si>
  <si>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</si>
  <si>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</si>
  <si>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</si>
  <si>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</si>
  <si>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</si>
  <si>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</si>
  <si>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</si>
  <si>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</si>
  <si>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</si>
  <si>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</si>
  <si>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</si>
  <si>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</si>
  <si>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</si>
  <si>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</si>
  <si>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</si>
  <si>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</si>
  <si>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</si>
  <si>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</si>
  <si>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</si>
  <si>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</si>
  <si>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</si>
  <si>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</si>
  <si>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</si>
  <si>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</si>
  <si>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</si>
  <si>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</si>
  <si>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</si>
  <si>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</si>
  <si>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</si>
  <si>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</si>
  <si>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</si>
  <si>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</si>
  <si>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</si>
  <si>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</si>
  <si>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</si>
  <si>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</si>
  <si>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</si>
  <si>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</si>
  <si>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</si>
  <si>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</si>
  <si>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</si>
  <si>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</si>
  <si>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</si>
  <si>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</si>
  <si>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</si>
  <si>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</si>
  <si>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</si>
  <si>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</si>
  <si>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</si>
  <si>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</si>
  <si>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</si>
  <si>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</si>
  <si>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</si>
  <si>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</si>
  <si>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</si>
  <si>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</si>
  <si>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</si>
  <si>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</si>
  <si>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</si>
  <si>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</si>
  <si>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</si>
  <si>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</si>
  <si>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</si>
  <si>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</si>
  <si>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</si>
  <si>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</si>
  <si>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</si>
  <si>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</si>
  <si>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</si>
  <si>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</si>
  <si>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</si>
  <si>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</si>
  <si>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</si>
  <si>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</si>
  <si>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</si>
  <si>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</si>
  <si>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</si>
  <si>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</si>
  <si>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</si>
  <si>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</si>
  <si>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</si>
  <si>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</si>
  <si>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</si>
  <si>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</si>
  <si>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</si>
  <si>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</si>
  <si>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</si>
  <si>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</si>
  <si>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</si>
  <si>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</si>
  <si>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</si>
  <si>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</si>
  <si>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</si>
  <si>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</si>
  <si>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</si>
  <si>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</si>
  <si>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</si>
  <si>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</si>
  <si>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</si>
  <si>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</si>
  <si>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</si>
  <si>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</si>
  <si>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</si>
  <si>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</si>
  <si>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</si>
  <si>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</si>
  <si>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</si>
  <si>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</si>
  <si>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</si>
  <si>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</si>
  <si>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</si>
  <si>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</si>
  <si>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</si>
  <si>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</si>
  <si>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</si>
  <si>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</si>
  <si>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</si>
  <si>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</si>
  <si>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</si>
  <si>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</si>
  <si>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</si>
  <si>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</si>
  <si>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</si>
  <si>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</si>
  <si>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</si>
  <si>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</si>
  <si>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</si>
  <si>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</si>
  <si>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</si>
  <si>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</si>
  <si>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</si>
  <si>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</si>
  <si>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</si>
  <si>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</si>
  <si>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</si>
  <si>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</si>
  <si>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</si>
  <si>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</si>
  <si>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</si>
  <si>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</si>
  <si>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</si>
  <si>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</si>
  <si>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</si>
  <si>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</si>
  <si>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</si>
  <si>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</si>
  <si>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</si>
  <si>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</si>
  <si>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</si>
  <si>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</si>
  <si>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</si>
  <si>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</si>
  <si>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</si>
  <si>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</si>
  <si>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</si>
  <si>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</si>
  <si>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</si>
  <si>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</si>
  <si>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</si>
  <si>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</si>
  <si>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</si>
  <si>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</si>
  <si>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</si>
  <si>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</si>
  <si>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</si>
  <si>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</si>
  <si>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</si>
  <si>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</si>
  <si>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</si>
  <si>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</si>
  <si>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</si>
  <si>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</si>
  <si>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</si>
  <si>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</si>
  <si>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</si>
  <si>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</si>
  <si>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</si>
  <si>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</si>
  <si>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</si>
  <si>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</si>
  <si>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</si>
  <si>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</si>
  <si>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</si>
  <si>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</si>
  <si>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</si>
  <si>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</si>
  <si>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</si>
  <si>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</si>
  <si>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</si>
  <si>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</si>
  <si>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</si>
  <si>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</si>
  <si>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</si>
  <si>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</si>
  <si>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</si>
  <si>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</si>
  <si>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</si>
  <si>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</si>
  <si>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</si>
  <si>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</si>
  <si>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</si>
  <si>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</si>
  <si>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</si>
  <si>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</si>
  <si>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</si>
  <si>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</si>
  <si>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</si>
  <si>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</si>
  <si>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</si>
  <si>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</si>
  <si>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</si>
  <si>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</si>
  <si>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</si>
  <si>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</si>
  <si>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</si>
  <si>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</si>
  <si>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</si>
  <si>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</si>
  <si>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</si>
  <si>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</si>
  <si>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</si>
  <si>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</si>
  <si>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</si>
  <si>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</si>
  <si>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</si>
  <si>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</si>
  <si>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</si>
  <si>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</si>
  <si>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</si>
  <si>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</si>
  <si>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</si>
  <si>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</si>
  <si>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</si>
  <si>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</si>
  <si>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</si>
  <si>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</si>
  <si>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</si>
  <si>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</si>
  <si>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</si>
  <si>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</si>
  <si>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</si>
  <si>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</si>
  <si>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</si>
  <si>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</si>
  <si>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</si>
  <si>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</si>
  <si>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</si>
  <si>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</si>
  <si>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</si>
  <si>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</si>
  <si>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</si>
  <si>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</si>
  <si>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</si>
  <si>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</si>
  <si>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</si>
  <si>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</si>
  <si>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</si>
  <si>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</si>
  <si>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</si>
  <si>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</si>
  <si>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</si>
  <si>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</si>
  <si>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</si>
  <si>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</si>
  <si>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</si>
  <si>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</si>
  <si>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</si>
  <si>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</si>
  <si>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</si>
  <si>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</si>
  <si>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</si>
  <si>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</si>
  <si>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</si>
  <si>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</si>
  <si>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</si>
  <si>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</si>
  <si>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</si>
  <si>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</si>
  <si>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</si>
  <si>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</si>
  <si>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</si>
  <si>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</si>
  <si>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</si>
  <si>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</si>
  <si>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</si>
  <si>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</si>
  <si>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</si>
  <si>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</si>
  <si>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</si>
  <si>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</si>
  <si>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</si>
  <si>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</si>
  <si>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</si>
  <si>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</si>
  <si>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</si>
  <si>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</si>
  <si>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</si>
  <si>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</si>
  <si>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</si>
  <si>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</si>
  <si>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</si>
  <si>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</si>
  <si>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</si>
  <si>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</si>
  <si>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</si>
  <si>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</si>
  <si>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</si>
  <si>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</si>
  <si>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</si>
  <si>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</si>
  <si>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</si>
  <si>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</si>
  <si>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</si>
  <si>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</si>
  <si>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</si>
  <si>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</si>
  <si>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</si>
  <si>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</si>
  <si>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</si>
  <si>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</si>
  <si>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</si>
  <si>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</si>
  <si>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</si>
  <si>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</si>
  <si>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</si>
  <si>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</si>
  <si>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</si>
  <si>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</si>
  <si>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</si>
  <si>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</si>
  <si>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</si>
  <si>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</si>
  <si>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</si>
  <si>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</si>
  <si>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</si>
  <si>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</si>
  <si>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</si>
  <si>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</si>
  <si>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</si>
  <si>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</si>
  <si>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</si>
  <si>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</si>
  <si>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</si>
  <si>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</si>
  <si>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</si>
  <si>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</si>
  <si>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</si>
  <si>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</si>
  <si>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</si>
  <si>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</si>
  <si>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</si>
  <si>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</si>
  <si>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</si>
  <si>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</si>
  <si>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</si>
  <si>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</si>
  <si>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</si>
  <si>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</si>
  <si>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</si>
  <si>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</si>
  <si>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</si>
  <si>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</si>
  <si>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</si>
  <si>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</si>
  <si>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</si>
  <si>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</si>
  <si>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</si>
  <si>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</si>
  <si>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</si>
  <si>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</si>
  <si>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</si>
  <si>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</si>
  <si>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</si>
  <si>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</si>
  <si>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</si>
  <si>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</si>
  <si>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</si>
  <si>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</si>
  <si>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</si>
  <si>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</si>
  <si>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</si>
  <si>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</si>
  <si>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</si>
  <si>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</si>
  <si>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</si>
  <si>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</si>
  <si>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</si>
  <si>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</si>
  <si>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</si>
  <si>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</si>
  <si>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</si>
  <si>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</si>
  <si>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</si>
  <si>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</si>
  <si>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</si>
  <si>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</si>
  <si>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</si>
  <si>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</si>
  <si>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</si>
  <si>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</si>
  <si>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</si>
  <si>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</si>
  <si>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</si>
  <si>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</si>
  <si>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</si>
  <si>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</si>
  <si>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</si>
  <si>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</si>
  <si>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</si>
  <si>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</si>
  <si>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</si>
  <si>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</si>
  <si>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</si>
  <si>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</si>
  <si>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</si>
  <si>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</si>
  <si>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</si>
  <si>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</si>
  <si>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</si>
  <si>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</si>
  <si>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</si>
  <si>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</si>
  <si>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</si>
  <si>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</si>
  <si>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</si>
  <si>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</si>
  <si>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</si>
  <si>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</si>
  <si>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</si>
  <si>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</si>
  <si>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</si>
  <si>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</si>
  <si>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</si>
  <si>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</si>
  <si>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</si>
  <si>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</si>
  <si>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</si>
  <si>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</si>
  <si>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</si>
  <si>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</si>
  <si>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</si>
  <si>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</si>
  <si>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</si>
  <si>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</si>
  <si>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</si>
  <si>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</si>
  <si>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</si>
  <si>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</si>
  <si>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</si>
  <si>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</si>
  <si>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</si>
  <si>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</si>
  <si>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</si>
  <si>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</si>
  <si>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</si>
  <si>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</si>
  <si>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</si>
  <si>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</si>
  <si>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</si>
  <si>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</si>
  <si>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</si>
  <si>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</si>
  <si>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</si>
  <si>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</si>
  <si>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</si>
  <si>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</si>
  <si>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</si>
  <si>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</si>
  <si>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</si>
  <si>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</si>
  <si>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</si>
  <si>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</si>
  <si>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</si>
  <si>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</si>
  <si>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</si>
  <si>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</si>
  <si>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</si>
  <si>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</si>
  <si>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</si>
  <si>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</si>
  <si>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</si>
  <si>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</si>
  <si>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</si>
  <si>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</si>
  <si>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</si>
  <si>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</si>
  <si>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</si>
  <si>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</si>
  <si>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</si>
  <si>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</si>
  <si>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</si>
  <si>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</si>
  <si>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</si>
  <si>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</si>
  <si>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</si>
  <si>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</si>
  <si>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</si>
  <si>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</si>
  <si>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</si>
  <si>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</si>
  <si>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</si>
  <si>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</si>
  <si>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</si>
  <si>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</si>
  <si>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</si>
  <si>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</si>
  <si>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</si>
  <si>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</si>
  <si>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</si>
  <si>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</si>
  <si>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</si>
  <si>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</si>
  <si>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</si>
  <si>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</si>
  <si>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</si>
  <si>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</si>
  <si>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</si>
  <si>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</si>
  <si>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</si>
  <si>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</si>
  <si>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</si>
  <si>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</si>
  <si>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</si>
  <si>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</si>
  <si>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</si>
  <si>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</si>
  <si>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</si>
  <si>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</si>
  <si>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</si>
  <si>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</si>
  <si>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</si>
  <si>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</si>
  <si>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</si>
  <si>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</si>
  <si>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</si>
  <si>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</si>
  <si>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</si>
  <si>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</si>
  <si>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</si>
  <si>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</si>
  <si>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</si>
  <si>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</si>
  <si>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</si>
  <si>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</si>
  <si>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</si>
  <si>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</si>
  <si>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</si>
  <si>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</si>
  <si>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</si>
  <si>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</si>
  <si>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</si>
  <si>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</si>
  <si>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</si>
  <si>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</si>
  <si>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</si>
  <si>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</si>
  <si>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</si>
  <si>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</si>
  <si>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</si>
  <si>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</si>
  <si>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</si>
  <si>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</si>
  <si>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</si>
  <si>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</si>
  <si>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</si>
  <si>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</si>
  <si>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</si>
  <si>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</si>
  <si>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</si>
  <si>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</si>
  <si>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</si>
  <si>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</si>
  <si>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</si>
  <si>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</si>
  <si>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</si>
  <si>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</si>
  <si>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</si>
  <si>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</si>
  <si>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</si>
  <si>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</si>
  <si>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</si>
  <si>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</si>
  <si>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</si>
  <si>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</si>
  <si>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</si>
  <si>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</si>
  <si>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</si>
  <si>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</si>
  <si>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</si>
  <si>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</si>
  <si>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</si>
  <si>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</si>
  <si>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</si>
  <si>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</si>
  <si>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</si>
  <si>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</si>
  <si>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</si>
  <si>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</si>
  <si>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</si>
  <si>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</si>
  <si>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</si>
  <si>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</si>
  <si>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</si>
  <si>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</si>
  <si>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</si>
  <si>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</si>
  <si>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</si>
  <si>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</si>
  <si>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</si>
  <si>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</si>
  <si>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</si>
  <si>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</si>
  <si>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</si>
  <si>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</si>
  <si>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</si>
  <si>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</si>
  <si>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</si>
  <si>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</si>
  <si>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</si>
  <si>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</si>
  <si>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</si>
  <si>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</si>
  <si>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</si>
  <si>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</si>
  <si>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</si>
  <si>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</si>
  <si>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</si>
  <si>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</si>
  <si>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</si>
  <si>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</si>
  <si>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</si>
  <si>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</si>
  <si>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</si>
  <si>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</si>
  <si>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</si>
  <si>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</si>
  <si>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</si>
  <si>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</si>
  <si>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</si>
  <si>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</si>
  <si>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</si>
  <si>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</si>
  <si>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</si>
  <si>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</si>
  <si>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</si>
  <si>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</si>
  <si>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</si>
  <si>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</si>
  <si>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</si>
  <si>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</si>
  <si>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</si>
  <si>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</si>
  <si>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</si>
  <si>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</si>
  <si>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</si>
  <si>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</si>
  <si>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</si>
  <si>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</si>
  <si>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</si>
  <si>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</si>
  <si>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</si>
  <si>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</si>
  <si>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</si>
  <si>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</si>
  <si>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</si>
  <si>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</si>
  <si>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</si>
  <si>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</si>
  <si>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</si>
  <si>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</si>
  <si>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</si>
  <si>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</si>
  <si>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</si>
  <si>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</si>
  <si>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</si>
  <si>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</si>
  <si>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</si>
  <si>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</si>
  <si>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</si>
  <si>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</si>
  <si>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</si>
  <si>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</si>
  <si>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</si>
  <si>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</si>
  <si>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</si>
  <si>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</si>
  <si>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</si>
  <si>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</si>
  <si>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</si>
  <si>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</si>
  <si>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</si>
  <si>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</si>
  <si>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</si>
  <si>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</si>
  <si>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</si>
  <si>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</si>
  <si>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</si>
  <si>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</si>
  <si>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</si>
  <si>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</si>
  <si>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</si>
  <si>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</si>
  <si>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</si>
  <si>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</si>
  <si>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</si>
  <si>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</si>
  <si>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</si>
  <si>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</si>
  <si>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</si>
  <si>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</si>
  <si>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</si>
  <si>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</si>
  <si>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</si>
  <si>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</si>
  <si>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</si>
  <si>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</si>
  <si>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</si>
  <si>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</si>
  <si>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</si>
  <si>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</si>
  <si>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</si>
  <si>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</si>
  <si>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</si>
  <si>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</si>
  <si>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</si>
  <si>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</si>
  <si>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</si>
  <si>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</si>
  <si>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</si>
  <si>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</si>
  <si>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</si>
  <si>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</si>
  <si>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</si>
  <si>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</si>
  <si>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</si>
  <si>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</si>
  <si>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</si>
  <si>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</si>
  <si>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</si>
  <si>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</si>
  <si>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</si>
  <si>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</si>
  <si>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</si>
  <si>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</si>
  <si>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</si>
  <si>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</si>
  <si>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</si>
  <si>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</si>
  <si>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</si>
  <si>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</si>
  <si>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</si>
  <si>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</si>
  <si>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</si>
  <si>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</si>
  <si>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</si>
  <si>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</si>
  <si>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</si>
  <si>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</si>
  <si>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</si>
  <si>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</si>
  <si>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</si>
  <si>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</si>
  <si>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</si>
  <si>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</si>
  <si>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</si>
  <si>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</si>
  <si>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</si>
  <si>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</si>
  <si>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</si>
  <si>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</si>
  <si>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</si>
  <si>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</si>
  <si>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</si>
  <si>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</si>
  <si>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</si>
  <si>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</si>
  <si>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</si>
  <si>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</si>
  <si>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</si>
  <si>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</si>
  <si>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</si>
  <si>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</si>
  <si>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</si>
  <si>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</si>
  <si>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</si>
  <si>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</si>
  <si>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</si>
  <si>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</si>
  <si>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</si>
  <si>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</si>
  <si>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</si>
  <si>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</si>
  <si>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</si>
  <si>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</si>
  <si>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</si>
  <si>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</si>
  <si>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</si>
  <si>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</si>
  <si>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</si>
  <si>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</si>
  <si>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</si>
  <si>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</si>
  <si>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</si>
  <si>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</si>
  <si>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</si>
  <si>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</si>
  <si>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</si>
  <si>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</si>
  <si>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</si>
  <si>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</si>
  <si>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</si>
  <si>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</si>
  <si>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</si>
  <si>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</si>
  <si>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</si>
  <si>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</si>
  <si>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</si>
  <si>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</si>
  <si>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</si>
  <si>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</si>
  <si>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</si>
  <si>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</si>
  <si>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</si>
  <si>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</si>
  <si>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</si>
  <si>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</si>
  <si>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</si>
  <si>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</si>
  <si>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</si>
  <si>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</si>
  <si>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</si>
  <si>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</si>
  <si>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</si>
  <si>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</si>
  <si>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</si>
  <si>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</si>
  <si>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</si>
  <si>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</si>
  <si>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</si>
  <si>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</si>
  <si>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</si>
  <si>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</si>
  <si>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</si>
  <si>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</si>
  <si>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</si>
  <si>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</si>
  <si>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</si>
  <si>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</si>
  <si>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</si>
  <si>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</si>
  <si>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</si>
  <si>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</si>
  <si>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</si>
  <si>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</si>
  <si>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</si>
  <si>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</si>
  <si>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</si>
  <si>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</si>
  <si>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</si>
  <si>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</si>
  <si>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</si>
  <si>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</si>
  <si>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</si>
  <si>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</si>
  <si>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</si>
  <si>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</si>
  <si>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</si>
  <si>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</si>
  <si>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</si>
  <si>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</si>
  <si>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</si>
  <si>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</si>
  <si>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</si>
  <si>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</si>
  <si>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</si>
  <si>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</si>
  <si>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</si>
  <si>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</si>
  <si>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</si>
  <si>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</si>
  <si>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</si>
  <si>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</si>
  <si>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</si>
  <si>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</si>
  <si>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</si>
  <si>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</si>
  <si>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</si>
  <si>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</si>
  <si>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</si>
  <si>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</si>
  <si>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</si>
  <si>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</si>
  <si>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</si>
  <si>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</si>
  <si>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</si>
  <si>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</si>
  <si>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</si>
  <si>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</si>
  <si>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</si>
  <si>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</si>
  <si>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</si>
  <si>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</si>
  <si>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</si>
  <si>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</si>
  <si>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</si>
  <si>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</si>
  <si>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</si>
  <si>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</si>
  <si>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</si>
  <si>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</si>
  <si>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</si>
  <si>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</si>
  <si>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</si>
  <si>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</si>
  <si>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</si>
  <si>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</si>
  <si>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</si>
  <si>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</si>
  <si>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</si>
  <si>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</si>
  <si>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</si>
  <si>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</si>
  <si>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</si>
  <si>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</si>
  <si>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</si>
  <si>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</si>
  <si>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</si>
  <si>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</si>
  <si>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</si>
  <si>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</si>
  <si>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</si>
  <si>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</si>
  <si>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</si>
  <si>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</si>
  <si>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</si>
  <si>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</si>
  <si>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</si>
  <si>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</si>
  <si>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</si>
  <si>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</si>
  <si>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</si>
  <si>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</si>
  <si>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</si>
  <si>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</si>
  <si>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</si>
  <si>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</si>
  <si>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</si>
  <si>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</si>
  <si>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</si>
  <si>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</si>
  <si>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</si>
  <si>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</si>
  <si>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</si>
  <si>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</si>
  <si>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</si>
  <si>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</si>
  <si>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</si>
  <si>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</si>
  <si>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</si>
  <si>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</si>
  <si>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</si>
  <si>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</si>
  <si>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</si>
  <si>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</si>
  <si>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</si>
  <si>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</si>
  <si>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</si>
  <si>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</si>
  <si>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</si>
  <si>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</si>
  <si>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</si>
  <si>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</si>
  <si>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</si>
  <si>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</si>
  <si>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</si>
  <si>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</si>
  <si>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</si>
  <si>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</si>
  <si>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</si>
  <si>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</si>
  <si>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</si>
  <si>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</si>
  <si>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</si>
  <si>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</si>
  <si>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</si>
  <si>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</si>
  <si>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</si>
  <si>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</si>
  <si>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</si>
  <si>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</si>
  <si>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</si>
  <si>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</si>
  <si>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</si>
  <si>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</si>
  <si>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</si>
  <si>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</si>
  <si>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</si>
  <si>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</si>
  <si>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</si>
  <si>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</si>
  <si>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</si>
  <si>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</si>
  <si>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</si>
  <si>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</si>
  <si>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</si>
  <si>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</si>
  <si>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</si>
  <si>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</si>
  <si>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</si>
  <si>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</si>
  <si>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</si>
  <si>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</si>
  <si>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</si>
  <si>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</si>
  <si>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</si>
  <si>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</si>
  <si>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</si>
  <si>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</si>
  <si>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</si>
  <si>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</si>
  <si>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</si>
  <si>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</si>
  <si>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</si>
  <si>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</si>
  <si>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</si>
  <si>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</si>
  <si>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</si>
  <si>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</si>
  <si>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</si>
  <si>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</si>
  <si>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</si>
  <si>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</si>
  <si>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</si>
  <si>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Sum of Sales</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</si>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</sst>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5" formatCode="dd\-mmm\-yyyy"/>
    <numFmt numFmtId="166"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37" fontId="0" fillId="0" borderId="0" xfId="0" applyNumberFormat="1"/>
  </cellXfs>
  <cellStyles count="2">
    <cellStyle name="Currency" xfId="1" builtinId="4"/>
    <cellStyle name="Normal" xfId="0" builtinId="0"/>
  </cellStyles>
  <dxfs count="16">
    <dxf>
      <font>
        <b val="0"/>
        <i val="0"/>
        <sz val="10"/>
        <color auto="1"/>
        <name val="Calibri"/>
        <family val="2"/>
        <scheme val="minor"/>
      </font>
    </dxf>
    <dxf>
      <font>
        <b val="0"/>
        <i val="0"/>
        <sz val="10"/>
        <color theme="4"/>
        <name val="Calibri"/>
        <family val="2"/>
        <scheme val="minor"/>
      </font>
      <fill>
        <patternFill>
          <bgColor theme="8"/>
        </patternFill>
      </fill>
      <border diagonalUp="0" diagonalDown="0">
        <left/>
        <right/>
        <top/>
        <bottom/>
        <vertical/>
        <horizontal/>
      </border>
    </dxf>
    <dxf>
      <font>
        <b val="0"/>
        <i val="0"/>
        <sz val="10"/>
        <color theme="1"/>
        <name val="Calibri"/>
        <family val="2"/>
        <scheme val="minor"/>
      </font>
    </dxf>
    <dxf>
      <font>
        <sz val="12"/>
        <color auto="1"/>
        <name val="Calibri"/>
        <family val="2"/>
        <scheme val="minor"/>
      </font>
      <fill>
        <patternFill patternType="solid">
          <fgColor theme="0"/>
          <bgColor theme="8"/>
        </patternFill>
      </fill>
      <border>
        <left style="thin">
          <color theme="0"/>
        </left>
        <right style="thin">
          <color theme="0"/>
        </right>
        <top style="thin">
          <color theme="0"/>
        </top>
        <bottom style="thin">
          <color theme="0"/>
        </bottom>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Blue Timeline" pivot="0" table="0" count="8" xr9:uid="{0027919C-DF3E-4765-86CE-15C9DC375020}">
      <tableStyleElement type="wholeTable" dxfId="3"/>
      <tableStyleElement type="headerRow" dxfId="2"/>
    </tableStyle>
    <tableStyle name="Slicer Style 1" pivot="0" table="0" count="10" xr9:uid="{8FEDFCDE-638A-471E-92E8-DDED6C3689AF}">
      <tableStyleElement type="wholeTable" dxfId="1"/>
      <tableStyleElement type="headerRow" dxfId="0"/>
    </tableStyle>
  </tableStyles>
  <extLst>
    <ext xmlns:x14="http://schemas.microsoft.com/office/spreadsheetml/2009/9/main" uri="{46F421CA-312F-682f-3DD2-61675219B42D}">
      <x14:dxfs count="16">
        <dxf>
          <font>
            <b val="0"/>
            <i val="0"/>
            <sz val="10"/>
            <color theme="8"/>
            <name val="Calibri"/>
            <family val="2"/>
            <scheme val="minor"/>
          </font>
          <fill>
            <patternFill>
              <bgColor theme="0"/>
            </patternFill>
          </fill>
        </dxf>
        <dxf>
          <font>
            <b val="0"/>
            <i val="0"/>
            <sz val="10"/>
            <color theme="8"/>
            <name val="Calibri"/>
            <family val="2"/>
            <scheme val="minor"/>
          </font>
          <fill>
            <patternFill>
              <bgColor theme="0"/>
            </patternFill>
          </fill>
          <border>
            <left style="thin">
              <color auto="1"/>
            </left>
            <right style="thin">
              <color auto="1"/>
            </right>
            <top style="thin">
              <color auto="1"/>
            </top>
            <bottom style="thin">
              <color auto="1"/>
            </bottom>
          </border>
        </dxf>
        <dxf>
          <font>
            <b val="0"/>
            <i val="0"/>
            <u val="none"/>
            <sz val="10"/>
            <color theme="8"/>
            <name val="Calibri"/>
            <family val="2"/>
            <scheme val="minor"/>
          </font>
          <fill>
            <patternFill>
              <bgColor theme="0"/>
            </patternFill>
          </fill>
          <border>
            <left style="thin">
              <color theme="0"/>
            </left>
            <right style="thin">
              <color theme="0"/>
            </right>
            <top style="thin">
              <color theme="0"/>
            </top>
            <bottom style="thin">
              <color theme="0"/>
            </bottom>
          </border>
        </dxf>
        <dxf>
          <font>
            <b val="0"/>
            <i val="0"/>
            <sz val="10"/>
            <color theme="8"/>
            <name val="Calibri"/>
            <family val="2"/>
            <scheme val="minor"/>
          </font>
          <fill>
            <patternFill>
              <bgColor theme="0"/>
            </patternFill>
          </fill>
          <border>
            <left style="thin">
              <color theme="0"/>
            </left>
            <right style="thin">
              <color theme="0"/>
            </right>
            <top style="thin">
              <color theme="0"/>
            </top>
            <bottom style="thin">
              <color theme="0"/>
            </bottom>
          </border>
        </dxf>
        <dxf>
          <font>
            <b val="0"/>
            <i val="0"/>
            <sz val="10"/>
            <color theme="1"/>
            <name val="Calibri"/>
            <family val="2"/>
            <scheme val="minor"/>
          </font>
          <fill>
            <patternFill>
              <bgColor theme="0"/>
            </patternFill>
          </fill>
          <border diagonalUp="0" diagonalDown="0">
            <left style="thin">
              <color auto="1"/>
            </left>
            <right style="thin">
              <color auto="1"/>
            </right>
            <top style="thin">
              <color auto="1"/>
            </top>
            <bottom style="thin">
              <color auto="1"/>
            </bottom>
            <vertical/>
            <horizontal/>
          </border>
        </dxf>
        <dxf>
          <font>
            <b val="0"/>
            <i val="0"/>
            <sz val="10"/>
            <color theme="1"/>
            <name val="Calibri"/>
            <family val="2"/>
            <scheme val="minor"/>
          </font>
          <fill>
            <patternFill>
              <bgColor theme="0"/>
            </patternFill>
          </fill>
          <border>
            <left style="thin">
              <color theme="0"/>
            </left>
            <right style="thin">
              <color theme="0"/>
            </right>
            <top style="thin">
              <color theme="0"/>
            </top>
            <bottom style="thin">
              <color theme="0"/>
            </bottom>
          </border>
        </dxf>
        <dxf>
          <font>
            <b val="0"/>
            <i val="0"/>
            <sz val="10"/>
            <color theme="1"/>
            <name val="Calibri"/>
            <family val="2"/>
            <scheme val="minor"/>
          </font>
          <fill>
            <patternFill>
              <bgColor theme="8" tint="0.59996337778862885"/>
            </patternFill>
          </fill>
        </dxf>
        <dxf>
          <font>
            <b val="0"/>
            <i val="0"/>
            <sz val="10"/>
            <color theme="1"/>
            <name val="Calibri"/>
            <family val="2"/>
            <scheme val="minor"/>
          </font>
          <fill>
            <patternFill>
              <bgColor theme="8" tint="0.59996337778862885"/>
            </patternFill>
          </fill>
        </dxf>
        <dxf>
          <font>
            <b val="0"/>
            <i val="0"/>
            <sz val="10"/>
            <color theme="8"/>
            <name val="Calibri"/>
            <family val="2"/>
            <scheme val="minor"/>
          </font>
          <fill>
            <patternFill>
              <bgColor theme="0"/>
            </patternFill>
          </fill>
        </dxf>
        <dxf>
          <font>
            <b val="0"/>
            <i val="0"/>
            <sz val="10"/>
            <color theme="8"/>
            <name val="Calibri"/>
            <family val="2"/>
            <scheme val="minor"/>
          </font>
          <fill>
            <patternFill>
              <bgColor theme="0"/>
            </patternFill>
          </fill>
          <border>
            <left style="thin">
              <color auto="1"/>
            </left>
            <right style="thin">
              <color auto="1"/>
            </right>
            <top style="thin">
              <color auto="1"/>
            </top>
            <bottom style="thin">
              <color auto="1"/>
            </bottom>
          </border>
        </dxf>
        <dxf>
          <font>
            <b val="0"/>
            <i val="0"/>
            <u val="none"/>
            <sz val="10"/>
            <color theme="8"/>
            <name val="Calibri"/>
            <family val="2"/>
            <scheme val="minor"/>
          </font>
          <fill>
            <patternFill>
              <bgColor theme="0"/>
            </patternFill>
          </fill>
          <border>
            <left style="thin">
              <color theme="0"/>
            </left>
            <right style="thin">
              <color theme="0"/>
            </right>
            <top style="thin">
              <color theme="0"/>
            </top>
            <bottom style="thin">
              <color theme="0"/>
            </bottom>
          </border>
        </dxf>
        <dxf>
          <font>
            <b val="0"/>
            <i val="0"/>
            <sz val="10"/>
            <color theme="8"/>
            <name val="Calibri"/>
            <family val="2"/>
            <scheme val="minor"/>
          </font>
          <fill>
            <patternFill>
              <bgColor theme="0"/>
            </patternFill>
          </fill>
          <border>
            <left style="thin">
              <color theme="0"/>
            </left>
            <right style="thin">
              <color theme="0"/>
            </right>
            <top style="thin">
              <color theme="0"/>
            </top>
            <bottom style="thin">
              <color theme="0"/>
            </bottom>
          </border>
        </dxf>
        <dxf>
          <font>
            <b val="0"/>
            <i val="0"/>
            <sz val="10"/>
            <color theme="1"/>
            <name val="Calibri"/>
            <family val="2"/>
            <scheme val="minor"/>
          </font>
          <fill>
            <patternFill>
              <bgColor theme="0"/>
            </patternFill>
          </fill>
          <border diagonalUp="0" diagonalDown="0">
            <left style="thin">
              <color auto="1"/>
            </left>
            <right style="thin">
              <color auto="1"/>
            </right>
            <top style="thin">
              <color auto="1"/>
            </top>
            <bottom style="thin">
              <color auto="1"/>
            </bottom>
            <vertical/>
            <horizontal/>
          </border>
        </dxf>
        <dxf>
          <font>
            <b val="0"/>
            <i val="0"/>
            <sz val="10"/>
            <color theme="1"/>
            <name val="Calibri"/>
            <family val="2"/>
            <scheme val="minor"/>
          </font>
          <fill>
            <patternFill>
              <bgColor theme="0"/>
            </patternFill>
          </fill>
          <border>
            <left style="thin">
              <color theme="0"/>
            </left>
            <right style="thin">
              <color theme="0"/>
            </right>
            <top style="thin">
              <color theme="0"/>
            </top>
            <bottom style="thin">
              <color theme="0"/>
            </bottom>
          </border>
        </dxf>
        <dxf>
          <font>
            <b val="0"/>
            <i val="0"/>
            <sz val="10"/>
            <color theme="1"/>
            <name val="Calibri"/>
            <family val="2"/>
            <scheme val="minor"/>
          </font>
          <fill>
            <patternFill>
              <bgColor theme="8" tint="0.79998168889431442"/>
            </patternFill>
          </fill>
        </dxf>
        <dxf>
          <font>
            <b val="0"/>
            <i val="0"/>
            <sz val="10"/>
            <color theme="1"/>
            <name val="Calibri"/>
            <family val="2"/>
            <scheme val="minor"/>
          </font>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b val="0"/>
            <i val="0"/>
            <sz val="10"/>
            <color theme="1"/>
            <name val="Calibri"/>
            <family val="2"/>
            <scheme val="minor"/>
          </font>
        </dxf>
        <dxf>
          <font>
            <b val="0"/>
            <i val="0"/>
            <sz val="10"/>
            <color theme="1"/>
            <name val="Calibri"/>
            <family val="2"/>
            <scheme val="minor"/>
          </font>
        </dxf>
        <dxf>
          <font>
            <b val="0"/>
            <i val="0"/>
            <sz val="10"/>
            <color theme="1"/>
            <name val="Calibri"/>
            <family val="2"/>
            <scheme val="minor"/>
          </font>
        </dxf>
        <dxf>
          <font>
            <b val="0"/>
            <i val="0"/>
            <sz val="10"/>
            <color theme="1"/>
            <name val="Calibri"/>
            <family val="2"/>
            <scheme val="minor"/>
          </font>
        </dxf>
      </x15:dxfs>
    </ext>
    <ext xmlns:x15="http://schemas.microsoft.com/office/spreadsheetml/2010/11/main" uri="{9260A510-F301-46a8-8635-F512D64BE5F5}">
      <x15:timelineStyles defaultTimelineStyle="TimeSlicerStyleLight1">
        <x15:timelineStyle name="Blu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fix.xlsx]Total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rgbClr val="00B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6-4270-4957-8656-AA95AC6C348C}"/>
            </c:ext>
          </c:extLst>
        </c:ser>
        <c:ser>
          <c:idx val="1"/>
          <c:order val="1"/>
          <c:tx>
            <c:strRef>
              <c:f>'Total Sales'!$D$3:$D$4</c:f>
              <c:strCache>
                <c:ptCount val="1"/>
                <c:pt idx="0">
                  <c:v>Exc</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7-4270-4957-8656-AA95AC6C348C}"/>
            </c:ext>
          </c:extLst>
        </c:ser>
        <c:ser>
          <c:idx val="2"/>
          <c:order val="2"/>
          <c:tx>
            <c:strRef>
              <c:f>'Total Sales'!$E$3:$E$4</c:f>
              <c:strCache>
                <c:ptCount val="1"/>
                <c:pt idx="0">
                  <c:v>Lib</c:v>
                </c:pt>
              </c:strCache>
            </c:strRef>
          </c:tx>
          <c:spPr>
            <a:ln w="28575" cap="rnd">
              <a:solidFill>
                <a:srgbClr val="00206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8-4270-4957-8656-AA95AC6C348C}"/>
            </c:ext>
          </c:extLst>
        </c:ser>
        <c:ser>
          <c:idx val="3"/>
          <c:order val="3"/>
          <c:tx>
            <c:strRef>
              <c:f>'Total Sales'!$F$3:$F$4</c:f>
              <c:strCache>
                <c:ptCount val="1"/>
                <c:pt idx="0">
                  <c:v>Rob</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9-4270-4957-8656-AA95AC6C348C}"/>
            </c:ext>
          </c:extLst>
        </c:ser>
        <c:dLbls>
          <c:showLegendKey val="0"/>
          <c:showVal val="0"/>
          <c:showCatName val="0"/>
          <c:showSerName val="0"/>
          <c:showPercent val="0"/>
          <c:showBubbleSize val="0"/>
        </c:dLbls>
        <c:smooth val="0"/>
        <c:axId val="407532335"/>
        <c:axId val="407541455"/>
      </c:lineChart>
      <c:catAx>
        <c:axId val="40753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07541455"/>
        <c:crosses val="autoZero"/>
        <c:auto val="1"/>
        <c:lblAlgn val="ctr"/>
        <c:lblOffset val="100"/>
        <c:noMultiLvlLbl val="0"/>
      </c:catAx>
      <c:valAx>
        <c:axId val="407541455"/>
        <c:scaling>
          <c:orientation val="minMax"/>
        </c:scaling>
        <c:delete val="0"/>
        <c:axPos val="l"/>
        <c:majorGridlines>
          <c:spPr>
            <a:ln w="9525" cap="flat" cmpd="sng" algn="ctr">
              <a:solidFill>
                <a:schemeClr val="accent1">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0753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fix.xlsx]Sales By Country!PivotTable3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bg1">
                <a:alpha val="98000"/>
              </a:schemeClr>
            </a:solidFill>
          </a:ln>
          <a:effectLst/>
        </c:spPr>
      </c:pivotFmt>
      <c:pivotFmt>
        <c:idx val="2"/>
        <c:spPr>
          <a:solidFill>
            <a:schemeClr val="accent1">
              <a:lumMod val="75000"/>
            </a:schemeClr>
          </a:solidFill>
          <a:ln>
            <a:solidFill>
              <a:schemeClr val="bg1">
                <a:alpha val="98000"/>
              </a:schemeClr>
            </a:solidFill>
          </a:ln>
          <a:effectLst/>
        </c:spPr>
      </c:pivotFmt>
      <c:pivotFmt>
        <c:idx val="3"/>
        <c:spPr>
          <a:solidFill>
            <a:schemeClr val="accent1">
              <a:lumMod val="40000"/>
              <a:lumOff val="60000"/>
            </a:schemeClr>
          </a:solidFill>
          <a:ln>
            <a:solidFill>
              <a:schemeClr val="bg1">
                <a:alpha val="98000"/>
              </a:schemeClr>
            </a:solid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chemeClr val="accent1"/>
            </a:solidFill>
            <a:ln>
              <a:solidFill>
                <a:schemeClr val="bg1">
                  <a:alpha val="98000"/>
                </a:schemeClr>
              </a:solidFill>
            </a:ln>
            <a:effectLst/>
          </c:spPr>
          <c:invertIfNegative val="0"/>
          <c:dPt>
            <c:idx val="0"/>
            <c:invertIfNegative val="0"/>
            <c:bubble3D val="0"/>
            <c:spPr>
              <a:solidFill>
                <a:schemeClr val="accent1">
                  <a:lumMod val="40000"/>
                  <a:lumOff val="60000"/>
                </a:schemeClr>
              </a:solidFill>
              <a:ln>
                <a:solidFill>
                  <a:schemeClr val="bg1">
                    <a:alpha val="98000"/>
                  </a:schemeClr>
                </a:solidFill>
              </a:ln>
              <a:effectLst/>
            </c:spPr>
            <c:extLst>
              <c:ext xmlns:c16="http://schemas.microsoft.com/office/drawing/2014/chart" uri="{C3380CC4-5D6E-409C-BE32-E72D297353CC}">
                <c16:uniqueId val="{00000005-FA78-4136-97CB-CF161F367764}"/>
              </c:ext>
            </c:extLst>
          </c:dPt>
          <c:dPt>
            <c:idx val="1"/>
            <c:invertIfNegative val="0"/>
            <c:bubble3D val="0"/>
            <c:spPr>
              <a:solidFill>
                <a:schemeClr val="accent1">
                  <a:lumMod val="60000"/>
                  <a:lumOff val="40000"/>
                </a:schemeClr>
              </a:solidFill>
              <a:ln>
                <a:solidFill>
                  <a:schemeClr val="bg1">
                    <a:alpha val="98000"/>
                  </a:schemeClr>
                </a:solidFill>
              </a:ln>
              <a:effectLst/>
            </c:spPr>
            <c:extLst>
              <c:ext xmlns:c16="http://schemas.microsoft.com/office/drawing/2014/chart" uri="{C3380CC4-5D6E-409C-BE32-E72D297353CC}">
                <c16:uniqueId val="{00000003-FA78-4136-97CB-CF161F367764}"/>
              </c:ext>
            </c:extLst>
          </c:dPt>
          <c:dPt>
            <c:idx val="2"/>
            <c:invertIfNegative val="0"/>
            <c:bubble3D val="0"/>
            <c:spPr>
              <a:solidFill>
                <a:schemeClr val="accent1">
                  <a:lumMod val="75000"/>
                </a:schemeClr>
              </a:solidFill>
              <a:ln>
                <a:solidFill>
                  <a:schemeClr val="bg1">
                    <a:alpha val="98000"/>
                  </a:schemeClr>
                </a:solidFill>
              </a:ln>
              <a:effectLst/>
            </c:spPr>
            <c:extLst>
              <c:ext xmlns:c16="http://schemas.microsoft.com/office/drawing/2014/chart" uri="{C3380CC4-5D6E-409C-BE32-E72D297353CC}">
                <c16:uniqueId val="{00000004-FA78-4136-97CB-CF161F367764}"/>
              </c:ext>
            </c:extLst>
          </c:dPt>
          <c:cat>
            <c:strRef>
              <c:f>'Sales By Country'!$A$4:$A$6</c:f>
              <c:strCache>
                <c:ptCount val="3"/>
                <c:pt idx="0">
                  <c:v>United Kingdom</c:v>
                </c:pt>
                <c:pt idx="1">
                  <c:v>Ireland</c:v>
                </c:pt>
                <c:pt idx="2">
                  <c:v>United States</c:v>
                </c:pt>
              </c:strCache>
            </c:strRef>
          </c:cat>
          <c:val>
            <c:numRef>
              <c:f>'Sales By Country'!$B$4:$B$6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FA78-4136-97CB-CF161F367764}"/>
            </c:ext>
          </c:extLst>
        </c:ser>
        <c:dLbls>
          <c:showLegendKey val="0"/>
          <c:showVal val="0"/>
          <c:showCatName val="0"/>
          <c:showSerName val="0"/>
          <c:showPercent val="0"/>
          <c:showBubbleSize val="0"/>
        </c:dLbls>
        <c:gapWidth val="182"/>
        <c:axId val="737795631"/>
        <c:axId val="737798991"/>
      </c:barChart>
      <c:catAx>
        <c:axId val="73779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98991"/>
        <c:crosses val="autoZero"/>
        <c:auto val="1"/>
        <c:lblAlgn val="ctr"/>
        <c:lblOffset val="100"/>
        <c:noMultiLvlLbl val="0"/>
      </c:catAx>
      <c:valAx>
        <c:axId val="737798991"/>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9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fix.xlsx]Top 5 Customers!PivotTable3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bg1">
                <a:alpha val="98000"/>
              </a:schemeClr>
            </a:solidFill>
          </a:ln>
          <a:effectLst/>
        </c:spPr>
      </c:pivotFmt>
      <c:pivotFmt>
        <c:idx val="2"/>
        <c:spPr>
          <a:solidFill>
            <a:schemeClr val="accent1">
              <a:lumMod val="75000"/>
            </a:schemeClr>
          </a:solidFill>
          <a:ln>
            <a:solidFill>
              <a:schemeClr val="bg1">
                <a:alpha val="98000"/>
              </a:schemeClr>
            </a:solidFill>
          </a:ln>
          <a:effectLst/>
        </c:spPr>
      </c:pivotFmt>
      <c:pivotFmt>
        <c:idx val="3"/>
        <c:spPr>
          <a:solidFill>
            <a:schemeClr val="accent1">
              <a:lumMod val="40000"/>
              <a:lumOff val="60000"/>
            </a:schemeClr>
          </a:solidFill>
          <a:ln>
            <a:solidFill>
              <a:schemeClr val="bg1">
                <a:alpha val="98000"/>
              </a:schemeClr>
            </a:solidFill>
          </a:ln>
          <a:effectLst/>
        </c:spPr>
      </c:pivotFmt>
      <c:pivotFmt>
        <c:idx val="4"/>
        <c:spPr>
          <a:solidFill>
            <a:schemeClr val="accent1"/>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solidFill>
              <a:schemeClr val="bg1">
                <a:alpha val="98000"/>
              </a:schemeClr>
            </a:solidFill>
          </a:ln>
          <a:effectLst/>
        </c:spPr>
      </c:pivotFmt>
      <c:pivotFmt>
        <c:idx val="6"/>
        <c:spPr>
          <a:solidFill>
            <a:schemeClr val="accent1">
              <a:lumMod val="60000"/>
              <a:lumOff val="40000"/>
            </a:schemeClr>
          </a:solidFill>
          <a:ln>
            <a:solidFill>
              <a:schemeClr val="bg1">
                <a:alpha val="98000"/>
              </a:schemeClr>
            </a:solidFill>
          </a:ln>
          <a:effectLst/>
        </c:spPr>
      </c:pivotFmt>
      <c:pivotFmt>
        <c:idx val="7"/>
        <c:spPr>
          <a:solidFill>
            <a:schemeClr val="accent1">
              <a:lumMod val="75000"/>
            </a:schemeClr>
          </a:solidFill>
          <a:ln>
            <a:solidFill>
              <a:schemeClr val="bg1">
                <a:alpha val="98000"/>
              </a:schemeClr>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solidFill>
                <a:schemeClr val="bg1">
                  <a:alpha val="98000"/>
                </a:schemeClr>
              </a:solidFill>
            </a:ln>
            <a:effectLst/>
          </c:spPr>
          <c:invertIfNegative val="0"/>
          <c:dPt>
            <c:idx val="0"/>
            <c:invertIfNegative val="0"/>
            <c:bubble3D val="0"/>
            <c:extLst>
              <c:ext xmlns:c16="http://schemas.microsoft.com/office/drawing/2014/chart" uri="{C3380CC4-5D6E-409C-BE32-E72D297353CC}">
                <c16:uniqueId val="{00000001-AA51-498F-BB50-6B48C32E0086}"/>
              </c:ext>
            </c:extLst>
          </c:dPt>
          <c:dPt>
            <c:idx val="1"/>
            <c:invertIfNegative val="0"/>
            <c:bubble3D val="0"/>
            <c:extLst>
              <c:ext xmlns:c16="http://schemas.microsoft.com/office/drawing/2014/chart" uri="{C3380CC4-5D6E-409C-BE32-E72D297353CC}">
                <c16:uniqueId val="{00000003-AA51-498F-BB50-6B48C32E0086}"/>
              </c:ext>
            </c:extLst>
          </c:dPt>
          <c:dPt>
            <c:idx val="2"/>
            <c:invertIfNegative val="0"/>
            <c:bubble3D val="0"/>
            <c:extLst>
              <c:ext xmlns:c16="http://schemas.microsoft.com/office/drawing/2014/chart" uri="{C3380CC4-5D6E-409C-BE32-E72D297353CC}">
                <c16:uniqueId val="{00000005-AA51-498F-BB50-6B48C32E0086}"/>
              </c:ext>
            </c:extLst>
          </c:dPt>
          <c:cat>
            <c:strRef>
              <c:f>'Top 5 Customers'!$A$4:$A$8</c:f>
              <c:strCache>
                <c:ptCount val="5"/>
                <c:pt idx="0">
                  <c:v>Allis Wilmore</c:v>
                </c:pt>
                <c:pt idx="1">
                  <c:v>Brenn Dundredge</c:v>
                </c:pt>
                <c:pt idx="2">
                  <c:v>Don Flintiff</c:v>
                </c:pt>
                <c:pt idx="3">
                  <c:v>Nealson Cuttler</c:v>
                </c:pt>
                <c:pt idx="4">
                  <c:v>Terri Farra</c:v>
                </c:pt>
              </c:strCache>
            </c:strRef>
          </c:cat>
          <c:val>
            <c:numRef>
              <c:f>'Top 5 Customers'!$B$4:$B$8</c:f>
              <c:numCache>
                <c:formatCode>#,##0_);\(#,##0\)</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6-AA51-498F-BB50-6B48C32E0086}"/>
            </c:ext>
          </c:extLst>
        </c:ser>
        <c:dLbls>
          <c:showLegendKey val="0"/>
          <c:showVal val="0"/>
          <c:showCatName val="0"/>
          <c:showSerName val="0"/>
          <c:showPercent val="0"/>
          <c:showBubbleSize val="0"/>
        </c:dLbls>
        <c:gapWidth val="182"/>
        <c:axId val="737795631"/>
        <c:axId val="737798991"/>
      </c:barChart>
      <c:catAx>
        <c:axId val="73779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98991"/>
        <c:crosses val="autoZero"/>
        <c:auto val="1"/>
        <c:lblAlgn val="ctr"/>
        <c:lblOffset val="100"/>
        <c:noMultiLvlLbl val="0"/>
      </c:catAx>
      <c:valAx>
        <c:axId val="737798991"/>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9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fix.xlsx]Total Sales!PivotTable3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rgbClr val="00B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B1C-4DF0-8115-0F57E3C3E0EA}"/>
            </c:ext>
          </c:extLst>
        </c:ser>
        <c:ser>
          <c:idx val="1"/>
          <c:order val="1"/>
          <c:tx>
            <c:strRef>
              <c:f>'Total Sales'!$D$3:$D$4</c:f>
              <c:strCache>
                <c:ptCount val="1"/>
                <c:pt idx="0">
                  <c:v>Exc</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6B1C-4DF0-8115-0F57E3C3E0EA}"/>
            </c:ext>
          </c:extLst>
        </c:ser>
        <c:ser>
          <c:idx val="2"/>
          <c:order val="2"/>
          <c:tx>
            <c:strRef>
              <c:f>'Total Sales'!$E$3:$E$4</c:f>
              <c:strCache>
                <c:ptCount val="1"/>
                <c:pt idx="0">
                  <c:v>Lib</c:v>
                </c:pt>
              </c:strCache>
            </c:strRef>
          </c:tx>
          <c:spPr>
            <a:ln w="28575" cap="rnd">
              <a:solidFill>
                <a:srgbClr val="00206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6B1C-4DF0-8115-0F57E3C3E0EA}"/>
            </c:ext>
          </c:extLst>
        </c:ser>
        <c:ser>
          <c:idx val="3"/>
          <c:order val="3"/>
          <c:tx>
            <c:strRef>
              <c:f>'Total Sales'!$F$3:$F$4</c:f>
              <c:strCache>
                <c:ptCount val="1"/>
                <c:pt idx="0">
                  <c:v>Rob</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6B1C-4DF0-8115-0F57E3C3E0EA}"/>
            </c:ext>
          </c:extLst>
        </c:ser>
        <c:dLbls>
          <c:showLegendKey val="0"/>
          <c:showVal val="0"/>
          <c:showCatName val="0"/>
          <c:showSerName val="0"/>
          <c:showPercent val="0"/>
          <c:showBubbleSize val="0"/>
        </c:dLbls>
        <c:smooth val="0"/>
        <c:axId val="407532335"/>
        <c:axId val="407541455"/>
      </c:lineChart>
      <c:catAx>
        <c:axId val="40753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07541455"/>
        <c:crosses val="autoZero"/>
        <c:auto val="1"/>
        <c:lblAlgn val="ctr"/>
        <c:lblOffset val="100"/>
        <c:noMultiLvlLbl val="0"/>
      </c:catAx>
      <c:valAx>
        <c:axId val="407541455"/>
        <c:scaling>
          <c:orientation val="minMax"/>
        </c:scaling>
        <c:delete val="0"/>
        <c:axPos val="l"/>
        <c:majorGridlines>
          <c:spPr>
            <a:ln w="9525" cap="flat" cmpd="sng" algn="ctr">
              <a:solidFill>
                <a:schemeClr val="accent1">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0753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fix.xlsx]Sales By Country!PivotTable3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bg1">
                <a:alpha val="98000"/>
              </a:schemeClr>
            </a:solidFill>
          </a:ln>
          <a:effectLst/>
        </c:spPr>
      </c:pivotFmt>
      <c:pivotFmt>
        <c:idx val="2"/>
        <c:spPr>
          <a:solidFill>
            <a:schemeClr val="accent1">
              <a:lumMod val="75000"/>
            </a:schemeClr>
          </a:solidFill>
          <a:ln>
            <a:solidFill>
              <a:schemeClr val="bg1">
                <a:alpha val="98000"/>
              </a:schemeClr>
            </a:solidFill>
          </a:ln>
          <a:effectLst/>
        </c:spPr>
      </c:pivotFmt>
      <c:pivotFmt>
        <c:idx val="3"/>
        <c:spPr>
          <a:solidFill>
            <a:schemeClr val="accent1">
              <a:lumMod val="40000"/>
              <a:lumOff val="60000"/>
            </a:schemeClr>
          </a:solidFill>
          <a:ln>
            <a:solidFill>
              <a:schemeClr val="bg1">
                <a:alpha val="98000"/>
              </a:schemeClr>
            </a:solidFill>
          </a:ln>
          <a:effectLst/>
        </c:spPr>
      </c:pivotFmt>
      <c:pivotFmt>
        <c:idx val="4"/>
        <c:spPr>
          <a:solidFill>
            <a:schemeClr val="accent1"/>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solidFill>
              <a:schemeClr val="bg1">
                <a:alpha val="98000"/>
              </a:schemeClr>
            </a:solidFill>
          </a:ln>
          <a:effectLst/>
        </c:spPr>
      </c:pivotFmt>
      <c:pivotFmt>
        <c:idx val="6"/>
        <c:spPr>
          <a:solidFill>
            <a:schemeClr val="accent1">
              <a:lumMod val="60000"/>
              <a:lumOff val="40000"/>
            </a:schemeClr>
          </a:solidFill>
          <a:ln>
            <a:solidFill>
              <a:schemeClr val="bg1">
                <a:alpha val="98000"/>
              </a:schemeClr>
            </a:solidFill>
          </a:ln>
          <a:effectLst/>
        </c:spPr>
      </c:pivotFmt>
      <c:pivotFmt>
        <c:idx val="7"/>
        <c:spPr>
          <a:solidFill>
            <a:schemeClr val="accent1">
              <a:lumMod val="75000"/>
            </a:schemeClr>
          </a:solidFill>
          <a:ln>
            <a:solidFill>
              <a:schemeClr val="bg1">
                <a:alpha val="98000"/>
              </a:schemeClr>
            </a:solidFill>
          </a:ln>
          <a:effectLst/>
        </c:spPr>
      </c:pivotFmt>
      <c:pivotFmt>
        <c:idx val="8"/>
        <c:spPr>
          <a:solidFill>
            <a:schemeClr val="accent1"/>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solidFill>
              <a:schemeClr val="bg1">
                <a:alpha val="98000"/>
              </a:schemeClr>
            </a:solidFill>
          </a:ln>
          <a:effectLst/>
        </c:spPr>
      </c:pivotFmt>
      <c:pivotFmt>
        <c:idx val="10"/>
        <c:spPr>
          <a:solidFill>
            <a:schemeClr val="accent1">
              <a:lumMod val="60000"/>
              <a:lumOff val="40000"/>
            </a:schemeClr>
          </a:solidFill>
          <a:ln>
            <a:solidFill>
              <a:schemeClr val="bg1">
                <a:alpha val="98000"/>
              </a:schemeClr>
            </a:solidFill>
          </a:ln>
          <a:effectLst/>
        </c:spPr>
      </c:pivotFmt>
      <c:pivotFmt>
        <c:idx val="11"/>
        <c:spPr>
          <a:solidFill>
            <a:schemeClr val="accent1">
              <a:lumMod val="75000"/>
            </a:schemeClr>
          </a:solidFill>
          <a:ln>
            <a:solidFill>
              <a:schemeClr val="bg1">
                <a:alpha val="98000"/>
              </a:schemeClr>
            </a:solid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chemeClr val="accent1"/>
            </a:solidFill>
            <a:ln>
              <a:solidFill>
                <a:schemeClr val="bg1">
                  <a:alpha val="98000"/>
                </a:schemeClr>
              </a:solidFill>
            </a:ln>
            <a:effectLst/>
          </c:spPr>
          <c:invertIfNegative val="0"/>
          <c:dPt>
            <c:idx val="0"/>
            <c:invertIfNegative val="0"/>
            <c:bubble3D val="0"/>
            <c:spPr>
              <a:solidFill>
                <a:schemeClr val="accent1">
                  <a:lumMod val="40000"/>
                  <a:lumOff val="60000"/>
                </a:schemeClr>
              </a:solidFill>
              <a:ln>
                <a:solidFill>
                  <a:schemeClr val="bg1">
                    <a:alpha val="98000"/>
                  </a:schemeClr>
                </a:solidFill>
              </a:ln>
              <a:effectLst/>
            </c:spPr>
            <c:extLst>
              <c:ext xmlns:c16="http://schemas.microsoft.com/office/drawing/2014/chart" uri="{C3380CC4-5D6E-409C-BE32-E72D297353CC}">
                <c16:uniqueId val="{00000001-0D89-43DD-BADC-0955146F2E02}"/>
              </c:ext>
            </c:extLst>
          </c:dPt>
          <c:dPt>
            <c:idx val="1"/>
            <c:invertIfNegative val="0"/>
            <c:bubble3D val="0"/>
            <c:spPr>
              <a:solidFill>
                <a:schemeClr val="accent1">
                  <a:lumMod val="60000"/>
                  <a:lumOff val="40000"/>
                </a:schemeClr>
              </a:solidFill>
              <a:ln>
                <a:solidFill>
                  <a:schemeClr val="bg1">
                    <a:alpha val="98000"/>
                  </a:schemeClr>
                </a:solidFill>
              </a:ln>
              <a:effectLst/>
            </c:spPr>
            <c:extLst>
              <c:ext xmlns:c16="http://schemas.microsoft.com/office/drawing/2014/chart" uri="{C3380CC4-5D6E-409C-BE32-E72D297353CC}">
                <c16:uniqueId val="{00000003-0D89-43DD-BADC-0955146F2E02}"/>
              </c:ext>
            </c:extLst>
          </c:dPt>
          <c:dPt>
            <c:idx val="2"/>
            <c:invertIfNegative val="0"/>
            <c:bubble3D val="0"/>
            <c:spPr>
              <a:solidFill>
                <a:schemeClr val="accent1">
                  <a:lumMod val="75000"/>
                </a:schemeClr>
              </a:solidFill>
              <a:ln>
                <a:solidFill>
                  <a:schemeClr val="bg1">
                    <a:alpha val="98000"/>
                  </a:schemeClr>
                </a:solidFill>
              </a:ln>
              <a:effectLst/>
            </c:spPr>
            <c:extLst>
              <c:ext xmlns:c16="http://schemas.microsoft.com/office/drawing/2014/chart" uri="{C3380CC4-5D6E-409C-BE32-E72D297353CC}">
                <c16:uniqueId val="{00000005-0D89-43DD-BADC-0955146F2E02}"/>
              </c:ext>
            </c:extLst>
          </c:dPt>
          <c:cat>
            <c:strRef>
              <c:f>'Sales By Country'!$A$4:$A$6</c:f>
              <c:strCache>
                <c:ptCount val="3"/>
                <c:pt idx="0">
                  <c:v>United Kingdom</c:v>
                </c:pt>
                <c:pt idx="1">
                  <c:v>Ireland</c:v>
                </c:pt>
                <c:pt idx="2">
                  <c:v>United States</c:v>
                </c:pt>
              </c:strCache>
            </c:strRef>
          </c:cat>
          <c:val>
            <c:numRef>
              <c:f>'Sales By Country'!$B$4:$B$6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0D89-43DD-BADC-0955146F2E02}"/>
            </c:ext>
          </c:extLst>
        </c:ser>
        <c:dLbls>
          <c:showLegendKey val="0"/>
          <c:showVal val="0"/>
          <c:showCatName val="0"/>
          <c:showSerName val="0"/>
          <c:showPercent val="0"/>
          <c:showBubbleSize val="0"/>
        </c:dLbls>
        <c:gapWidth val="182"/>
        <c:axId val="737795631"/>
        <c:axId val="737798991"/>
      </c:barChart>
      <c:catAx>
        <c:axId val="73779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98991"/>
        <c:crosses val="autoZero"/>
        <c:auto val="1"/>
        <c:lblAlgn val="ctr"/>
        <c:lblOffset val="100"/>
        <c:noMultiLvlLbl val="0"/>
      </c:catAx>
      <c:valAx>
        <c:axId val="737798991"/>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9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fix.xlsx]Top 5 Customers!PivotTable3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bg1">
                <a:alpha val="98000"/>
              </a:schemeClr>
            </a:solidFill>
          </a:ln>
          <a:effectLst/>
        </c:spPr>
      </c:pivotFmt>
      <c:pivotFmt>
        <c:idx val="2"/>
        <c:spPr>
          <a:solidFill>
            <a:schemeClr val="accent1">
              <a:lumMod val="75000"/>
            </a:schemeClr>
          </a:solidFill>
          <a:ln>
            <a:solidFill>
              <a:schemeClr val="bg1">
                <a:alpha val="98000"/>
              </a:schemeClr>
            </a:solidFill>
          </a:ln>
          <a:effectLst/>
        </c:spPr>
      </c:pivotFmt>
      <c:pivotFmt>
        <c:idx val="3"/>
        <c:spPr>
          <a:solidFill>
            <a:schemeClr val="accent1">
              <a:lumMod val="40000"/>
              <a:lumOff val="60000"/>
            </a:schemeClr>
          </a:solidFill>
          <a:ln>
            <a:solidFill>
              <a:schemeClr val="bg1">
                <a:alpha val="98000"/>
              </a:schemeClr>
            </a:solidFill>
          </a:ln>
          <a:effectLst/>
        </c:spPr>
      </c:pivotFmt>
      <c:pivotFmt>
        <c:idx val="4"/>
        <c:spPr>
          <a:solidFill>
            <a:schemeClr val="accent1"/>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solidFill>
              <a:schemeClr val="bg1">
                <a:alpha val="98000"/>
              </a:schemeClr>
            </a:solidFill>
          </a:ln>
          <a:effectLst/>
        </c:spPr>
      </c:pivotFmt>
      <c:pivotFmt>
        <c:idx val="6"/>
        <c:spPr>
          <a:solidFill>
            <a:schemeClr val="accent1">
              <a:lumMod val="60000"/>
              <a:lumOff val="40000"/>
            </a:schemeClr>
          </a:solidFill>
          <a:ln>
            <a:solidFill>
              <a:schemeClr val="bg1">
                <a:alpha val="98000"/>
              </a:schemeClr>
            </a:solidFill>
          </a:ln>
          <a:effectLst/>
        </c:spPr>
      </c:pivotFmt>
      <c:pivotFmt>
        <c:idx val="7"/>
        <c:spPr>
          <a:solidFill>
            <a:schemeClr val="accent1">
              <a:lumMod val="75000"/>
            </a:schemeClr>
          </a:solidFill>
          <a:ln>
            <a:solidFill>
              <a:schemeClr val="bg1">
                <a:alpha val="98000"/>
              </a:schemeClr>
            </a:solidFill>
          </a:ln>
          <a:effectLst/>
        </c:spPr>
      </c:pivotFmt>
      <c:pivotFmt>
        <c:idx val="8"/>
        <c:spPr>
          <a:solidFill>
            <a:schemeClr val="accent1"/>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solidFill>
                <a:schemeClr val="bg1">
                  <a:alpha val="98000"/>
                </a:schemeClr>
              </a:solidFill>
            </a:ln>
            <a:effectLst/>
          </c:spPr>
          <c:invertIfNegative val="0"/>
          <c:dPt>
            <c:idx val="0"/>
            <c:invertIfNegative val="0"/>
            <c:bubble3D val="0"/>
            <c:extLst>
              <c:ext xmlns:c16="http://schemas.microsoft.com/office/drawing/2014/chart" uri="{C3380CC4-5D6E-409C-BE32-E72D297353CC}">
                <c16:uniqueId val="{00000000-E4DE-4646-89FB-635E8E8D695B}"/>
              </c:ext>
            </c:extLst>
          </c:dPt>
          <c:dPt>
            <c:idx val="1"/>
            <c:invertIfNegative val="0"/>
            <c:bubble3D val="0"/>
            <c:extLst>
              <c:ext xmlns:c16="http://schemas.microsoft.com/office/drawing/2014/chart" uri="{C3380CC4-5D6E-409C-BE32-E72D297353CC}">
                <c16:uniqueId val="{00000001-E4DE-4646-89FB-635E8E8D695B}"/>
              </c:ext>
            </c:extLst>
          </c:dPt>
          <c:dPt>
            <c:idx val="2"/>
            <c:invertIfNegative val="0"/>
            <c:bubble3D val="0"/>
            <c:extLst>
              <c:ext xmlns:c16="http://schemas.microsoft.com/office/drawing/2014/chart" uri="{C3380CC4-5D6E-409C-BE32-E72D297353CC}">
                <c16:uniqueId val="{00000002-E4DE-4646-89FB-635E8E8D695B}"/>
              </c:ext>
            </c:extLst>
          </c:dPt>
          <c:cat>
            <c:strRef>
              <c:f>'Top 5 Customers'!$A$4:$A$8</c:f>
              <c:strCache>
                <c:ptCount val="5"/>
                <c:pt idx="0">
                  <c:v>Allis Wilmore</c:v>
                </c:pt>
                <c:pt idx="1">
                  <c:v>Brenn Dundredge</c:v>
                </c:pt>
                <c:pt idx="2">
                  <c:v>Don Flintiff</c:v>
                </c:pt>
                <c:pt idx="3">
                  <c:v>Nealson Cuttler</c:v>
                </c:pt>
                <c:pt idx="4">
                  <c:v>Terri Farra</c:v>
                </c:pt>
              </c:strCache>
            </c:strRef>
          </c:cat>
          <c:val>
            <c:numRef>
              <c:f>'Top 5 Customers'!$B$4:$B$8</c:f>
              <c:numCache>
                <c:formatCode>#,##0_);\(#,##0\)</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3-E4DE-4646-89FB-635E8E8D695B}"/>
            </c:ext>
          </c:extLst>
        </c:ser>
        <c:dLbls>
          <c:showLegendKey val="0"/>
          <c:showVal val="0"/>
          <c:showCatName val="0"/>
          <c:showSerName val="0"/>
          <c:showPercent val="0"/>
          <c:showBubbleSize val="0"/>
        </c:dLbls>
        <c:gapWidth val="182"/>
        <c:axId val="737795631"/>
        <c:axId val="737798991"/>
      </c:barChart>
      <c:catAx>
        <c:axId val="73779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98991"/>
        <c:crosses val="autoZero"/>
        <c:auto val="1"/>
        <c:lblAlgn val="ctr"/>
        <c:lblOffset val="100"/>
        <c:noMultiLvlLbl val="0"/>
      </c:catAx>
      <c:valAx>
        <c:axId val="737798991"/>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9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586740</xdr:colOff>
      <xdr:row>9</xdr:row>
      <xdr:rowOff>53340</xdr:rowOff>
    </xdr:from>
    <xdr:to>
      <xdr:col>15</xdr:col>
      <xdr:colOff>312420</xdr:colOff>
      <xdr:row>26</xdr:row>
      <xdr:rowOff>144780</xdr:rowOff>
    </xdr:to>
    <xdr:graphicFrame macro="">
      <xdr:nvGraphicFramePr>
        <xdr:cNvPr id="2" name="Chart 1">
          <a:extLst>
            <a:ext uri="{FF2B5EF4-FFF2-40B4-BE49-F238E27FC236}">
              <a16:creationId xmlns:a16="http://schemas.microsoft.com/office/drawing/2014/main" id="{CA148017-0CD2-F186-13AB-252AA728D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586740</xdr:colOff>
      <xdr:row>0</xdr:row>
      <xdr:rowOff>121920</xdr:rowOff>
    </xdr:from>
    <xdr:to>
      <xdr:col>15</xdr:col>
      <xdr:colOff>327660</xdr:colOff>
      <xdr:row>8</xdr:row>
      <xdr:rowOff>175260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BC0855B0-12AB-F45B-C7A2-948488D02BA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732020" y="121920"/>
              <a:ext cx="5402580" cy="15163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365760</xdr:colOff>
      <xdr:row>4</xdr:row>
      <xdr:rowOff>45721</xdr:rowOff>
    </xdr:from>
    <xdr:to>
      <xdr:col>18</xdr:col>
      <xdr:colOff>114300</xdr:colOff>
      <xdr:row>9</xdr:row>
      <xdr:rowOff>7620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89A83C43-8537-0537-DFC1-C27FA399C17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172700" y="777241"/>
              <a:ext cx="1577340" cy="87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365760</xdr:colOff>
      <xdr:row>0</xdr:row>
      <xdr:rowOff>129541</xdr:rowOff>
    </xdr:from>
    <xdr:to>
      <xdr:col>20</xdr:col>
      <xdr:colOff>411480</xdr:colOff>
      <xdr:row>4</xdr:row>
      <xdr:rowOff>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CAD3B494-7958-5B90-C646-FF547B1E10FD}"/>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172700" y="129541"/>
              <a:ext cx="3093720" cy="601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4</xdr:row>
      <xdr:rowOff>45721</xdr:rowOff>
    </xdr:from>
    <xdr:to>
      <xdr:col>20</xdr:col>
      <xdr:colOff>411480</xdr:colOff>
      <xdr:row>9</xdr:row>
      <xdr:rowOff>7620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DFA875F5-56D9-9AF3-9761-D5702BBDFB3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788140" y="777241"/>
              <a:ext cx="1478280" cy="87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237565</xdr:colOff>
      <xdr:row>5</xdr:row>
      <xdr:rowOff>80683</xdr:rowOff>
    </xdr:from>
    <xdr:to>
      <xdr:col>13</xdr:col>
      <xdr:colOff>363071</xdr:colOff>
      <xdr:row>20</xdr:row>
      <xdr:rowOff>134472</xdr:rowOff>
    </xdr:to>
    <xdr:graphicFrame macro="">
      <xdr:nvGraphicFramePr>
        <xdr:cNvPr id="9" name="Chart 8">
          <a:extLst>
            <a:ext uri="{FF2B5EF4-FFF2-40B4-BE49-F238E27FC236}">
              <a16:creationId xmlns:a16="http://schemas.microsoft.com/office/drawing/2014/main" id="{73D81646-A677-1CE6-C95E-7ED6D285B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407895</xdr:colOff>
      <xdr:row>0</xdr:row>
      <xdr:rowOff>161366</xdr:rowOff>
    </xdr:from>
    <xdr:to>
      <xdr:col>12</xdr:col>
      <xdr:colOff>389965</xdr:colOff>
      <xdr:row>16</xdr:row>
      <xdr:rowOff>35860</xdr:rowOff>
    </xdr:to>
    <xdr:graphicFrame macro="">
      <xdr:nvGraphicFramePr>
        <xdr:cNvPr id="2" name="Chart 1">
          <a:extLst>
            <a:ext uri="{FF2B5EF4-FFF2-40B4-BE49-F238E27FC236}">
              <a16:creationId xmlns:a16="http://schemas.microsoft.com/office/drawing/2014/main" id="{5A1AFC10-A455-43BA-82B0-9485F2D18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17930</xdr:colOff>
      <xdr:row>2</xdr:row>
      <xdr:rowOff>1</xdr:rowOff>
    </xdr:from>
    <xdr:to>
      <xdr:col>27</xdr:col>
      <xdr:colOff>17930</xdr:colOff>
      <xdr:row>5</xdr:row>
      <xdr:rowOff>0</xdr:rowOff>
    </xdr:to>
    <xdr:sp macro="" textlink="">
      <xdr:nvSpPr>
        <xdr:cNvPr id="2" name="Rectangle 1">
          <a:extLst>
            <a:ext uri="{FF2B5EF4-FFF2-40B4-BE49-F238E27FC236}">
              <a16:creationId xmlns:a16="http://schemas.microsoft.com/office/drawing/2014/main" id="{E50A3D39-50B8-D745-D046-17070D0E8941}"/>
            </a:ext>
          </a:extLst>
        </xdr:cNvPr>
        <xdr:cNvSpPr/>
      </xdr:nvSpPr>
      <xdr:spPr>
        <a:xfrm>
          <a:off x="627530" y="358589"/>
          <a:ext cx="15849600" cy="53788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19849</xdr:colOff>
      <xdr:row>15</xdr:row>
      <xdr:rowOff>40532</xdr:rowOff>
    </xdr:from>
    <xdr:to>
      <xdr:col>14</xdr:col>
      <xdr:colOff>277906</xdr:colOff>
      <xdr:row>46</xdr:row>
      <xdr:rowOff>65314</xdr:rowOff>
    </xdr:to>
    <xdr:graphicFrame macro="">
      <xdr:nvGraphicFramePr>
        <xdr:cNvPr id="3" name="Chart 2">
          <a:extLst>
            <a:ext uri="{FF2B5EF4-FFF2-40B4-BE49-F238E27FC236}">
              <a16:creationId xmlns:a16="http://schemas.microsoft.com/office/drawing/2014/main" id="{89F72D3E-F49D-4F82-96F7-27FFDF534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8965</xdr:colOff>
      <xdr:row>5</xdr:row>
      <xdr:rowOff>98612</xdr:rowOff>
    </xdr:from>
    <xdr:to>
      <xdr:col>19</xdr:col>
      <xdr:colOff>21771</xdr:colOff>
      <xdr:row>14</xdr:row>
      <xdr:rowOff>134471</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26951405-3588-4AD1-8090-3A4D07737A0A}"/>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618565" y="999157"/>
              <a:ext cx="10985606" cy="165684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104758</xdr:colOff>
      <xdr:row>9</xdr:row>
      <xdr:rowOff>156496</xdr:rowOff>
    </xdr:from>
    <xdr:to>
      <xdr:col>23</xdr:col>
      <xdr:colOff>98611</xdr:colOff>
      <xdr:row>14</xdr:row>
      <xdr:rowOff>143435</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C79496AC-3980-4B4F-A111-E44652F9793F}"/>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687158" y="1777478"/>
              <a:ext cx="2432253" cy="8874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104759</xdr:colOff>
      <xdr:row>5</xdr:row>
      <xdr:rowOff>106229</xdr:rowOff>
    </xdr:from>
    <xdr:to>
      <xdr:col>27</xdr:col>
      <xdr:colOff>32657</xdr:colOff>
      <xdr:row>9</xdr:row>
      <xdr:rowOff>80682</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60FB289A-2DD2-41F4-887F-32E640DB52D4}"/>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687159" y="1006774"/>
              <a:ext cx="4804698" cy="694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171866</xdr:colOff>
      <xdr:row>9</xdr:row>
      <xdr:rowOff>154575</xdr:rowOff>
    </xdr:from>
    <xdr:to>
      <xdr:col>27</xdr:col>
      <xdr:colOff>26894</xdr:colOff>
      <xdr:row>14</xdr:row>
      <xdr:rowOff>143435</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199D9A4B-EAC7-4234-9251-C7B5D34CFA05}"/>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4192666" y="1775557"/>
              <a:ext cx="2293428" cy="889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385482</xdr:colOff>
      <xdr:row>15</xdr:row>
      <xdr:rowOff>44823</xdr:rowOff>
    </xdr:from>
    <xdr:to>
      <xdr:col>27</xdr:col>
      <xdr:colOff>26893</xdr:colOff>
      <xdr:row>30</xdr:row>
      <xdr:rowOff>170329</xdr:rowOff>
    </xdr:to>
    <xdr:graphicFrame macro="">
      <xdr:nvGraphicFramePr>
        <xdr:cNvPr id="8" name="Chart 7">
          <a:extLst>
            <a:ext uri="{FF2B5EF4-FFF2-40B4-BE49-F238E27FC236}">
              <a16:creationId xmlns:a16="http://schemas.microsoft.com/office/drawing/2014/main" id="{E9150377-49D1-4AD2-95CA-D9EE6C3E0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380999</xdr:colOff>
      <xdr:row>31</xdr:row>
      <xdr:rowOff>97972</xdr:rowOff>
    </xdr:from>
    <xdr:to>
      <xdr:col>27</xdr:col>
      <xdr:colOff>32656</xdr:colOff>
      <xdr:row>46</xdr:row>
      <xdr:rowOff>65314</xdr:rowOff>
    </xdr:to>
    <xdr:graphicFrame macro="">
      <xdr:nvGraphicFramePr>
        <xdr:cNvPr id="9" name="Chart 8">
          <a:extLst>
            <a:ext uri="{FF2B5EF4-FFF2-40B4-BE49-F238E27FC236}">
              <a16:creationId xmlns:a16="http://schemas.microsoft.com/office/drawing/2014/main" id="{3DECEF59-C780-453A-8E3A-CD23274EF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ti Prabowo" refreshedDate="46189.648416782409" createdVersion="8" refreshedVersion="8" minRefreshableVersion="3" recordCount="1000" xr:uid="{5A79526D-574A-459A-B559-04C0C32E9F8D}">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167270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pbote1@yelp.com"/>
    <x v="0"/>
    <x v="1"/>
    <s v="M"/>
    <x v="1"/>
    <n v="8.25"/>
    <n v="41.25"/>
    <s v="Excelsa"/>
    <x v="0"/>
    <x v="0"/>
  </r>
  <r>
    <s v="FAA-43335-268"/>
    <x v="1"/>
    <s v="21125-22134-PX"/>
    <s v="A-L-1"/>
    <n v="1"/>
    <x v="1"/>
    <s v=""/>
    <x v="0"/>
    <x v="2"/>
    <s v="L"/>
    <x v="0"/>
    <n v="12.95"/>
    <n v="12.95"/>
    <s v="Arabica"/>
    <x v="1"/>
    <x v="0"/>
  </r>
  <r>
    <s v="KAC-83089-793"/>
    <x v="2"/>
    <s v="23806-46781-OU"/>
    <s v="E-M-1"/>
    <n v="2"/>
    <x v="2"/>
    <s v=""/>
    <x v="1"/>
    <x v="1"/>
    <s v="M"/>
    <x v="0"/>
    <n v="13.75"/>
    <n v="27.5"/>
    <s v="Excelsa"/>
    <x v="0"/>
    <x v="1"/>
  </r>
  <r>
    <s v="KAC-83089-793"/>
    <x v="2"/>
    <s v="23806-46781-OU"/>
    <s v="R-L-2.5"/>
    <n v="2"/>
    <x v="2"/>
    <s v="gpetracci8@livejournal.com"/>
    <x v="1"/>
    <x v="0"/>
    <s v="L"/>
    <x v="2"/>
    <n v="27.484999999999996"/>
    <n v="54.969999999999992"/>
    <s v="Robusta"/>
    <x v="1"/>
    <x v="1"/>
  </r>
  <r>
    <s v="CVP-18956-553"/>
    <x v="3"/>
    <s v="86561-91660-RB"/>
    <s v="L-D-1"/>
    <n v="3"/>
    <x v="3"/>
    <s v="fferbera@businesswire.com"/>
    <x v="0"/>
    <x v="3"/>
    <s v="D"/>
    <x v="0"/>
    <n v="12.95"/>
    <n v="38.849999999999994"/>
    <s v="Liberica"/>
    <x v="2"/>
    <x v="1"/>
  </r>
  <r>
    <s v="IPP-31994-879"/>
    <x v="4"/>
    <s v="65223-29612-CB"/>
    <s v="E-D-0.5"/>
    <n v="3"/>
    <x v="4"/>
    <s v="rscholarc@nyu.edu"/>
    <x v="0"/>
    <x v="1"/>
    <s v="D"/>
    <x v="1"/>
    <n v="7.29"/>
    <n v="21.87"/>
    <s v="Excelsa"/>
    <x v="2"/>
    <x v="0"/>
  </r>
  <r>
    <s v="SNZ-65340-705"/>
    <x v="5"/>
    <s v="21134-81676-FR"/>
    <s v="L-L-0.2"/>
    <n v="1"/>
    <x v="5"/>
    <s v="ptrobee@wunderground.com"/>
    <x v="1"/>
    <x v="3"/>
    <s v="L"/>
    <x v="3"/>
    <n v="4.7549999999999999"/>
    <n v="4.7549999999999999"/>
    <s v="Liberica"/>
    <x v="1"/>
    <x v="0"/>
  </r>
  <r>
    <s v="EZT-46571-659"/>
    <x v="6"/>
    <s v="03396-68805-ZC"/>
    <s v="R-M-0.5"/>
    <n v="3"/>
    <x v="6"/>
    <s v="malabasterg@hexun.com"/>
    <x v="0"/>
    <x v="0"/>
    <s v="M"/>
    <x v="1"/>
    <n v="5.97"/>
    <n v="17.91"/>
    <s v="Robusta"/>
    <x v="0"/>
    <x v="1"/>
  </r>
  <r>
    <s v="NWQ-70061-912"/>
    <x v="0"/>
    <s v="61021-27840-ZN"/>
    <s v="R-M-0.5"/>
    <n v="1"/>
    <x v="7"/>
    <s v="predfordi@ow.ly"/>
    <x v="0"/>
    <x v="0"/>
    <s v="M"/>
    <x v="1"/>
    <n v="5.97"/>
    <n v="5.97"/>
    <s v="Robusta"/>
    <x v="0"/>
    <x v="1"/>
  </r>
  <r>
    <s v="BKK-47233-845"/>
    <x v="7"/>
    <s v="76239-90137-UQ"/>
    <s v="A-D-1"/>
    <n v="4"/>
    <x v="8"/>
    <s v=""/>
    <x v="0"/>
    <x v="2"/>
    <s v="D"/>
    <x v="0"/>
    <n v="9.9499999999999993"/>
    <n v="39.799999999999997"/>
    <s v="Arabica"/>
    <x v="2"/>
    <x v="1"/>
  </r>
  <r>
    <s v="VQR-01002-970"/>
    <x v="8"/>
    <s v="49315-21985-BB"/>
    <s v="E-L-2.5"/>
    <n v="5"/>
    <x v="9"/>
    <s v="aantukm@kickstarter.com"/>
    <x v="0"/>
    <x v="1"/>
    <s v="L"/>
    <x v="2"/>
    <n v="34.154999999999994"/>
    <n v="170.77499999999998"/>
    <s v="Excelsa"/>
    <x v="1"/>
    <x v="0"/>
  </r>
  <r>
    <s v="SZW-48378-399"/>
    <x v="9"/>
    <s v="34136-36674-OM"/>
    <s v="R-M-1"/>
    <n v="5"/>
    <x v="10"/>
    <s v="cblofeldo@amazon.co.uk"/>
    <x v="0"/>
    <x v="0"/>
    <s v="M"/>
    <x v="0"/>
    <n v="9.9499999999999993"/>
    <n v="49.75"/>
    <s v="Robusta"/>
    <x v="0"/>
    <x v="1"/>
  </r>
  <r>
    <s v="ITA-87418-783"/>
    <x v="10"/>
    <s v="39396-12890-PE"/>
    <s v="R-D-2.5"/>
    <n v="2"/>
    <x v="11"/>
    <s v="sshalesq@umich.edu"/>
    <x v="0"/>
    <x v="0"/>
    <s v="D"/>
    <x v="2"/>
    <n v="20.584999999999997"/>
    <n v="41.169999999999995"/>
    <s v="Robusta"/>
    <x v="2"/>
    <x v="1"/>
  </r>
  <r>
    <s v="GNZ-46006-527"/>
    <x v="11"/>
    <s v="95875-73336-RG"/>
    <s v="L-D-0.2"/>
    <n v="3"/>
    <x v="12"/>
    <s v="tnewburys@usda.gov"/>
    <x v="0"/>
    <x v="3"/>
    <s v="D"/>
    <x v="3"/>
    <n v="3.8849999999999998"/>
    <n v="11.654999999999999"/>
    <s v="Liberica"/>
    <x v="2"/>
    <x v="0"/>
  </r>
  <r>
    <s v="FYQ-78248-319"/>
    <x v="12"/>
    <s v="25473-43727-BY"/>
    <s v="R-M-2.5"/>
    <n v="5"/>
    <x v="13"/>
    <s v=""/>
    <x v="0"/>
    <x v="0"/>
    <s v="M"/>
    <x v="2"/>
    <n v="22.884999999999998"/>
    <n v="114.42499999999998"/>
    <s v="Robusta"/>
    <x v="0"/>
    <x v="1"/>
  </r>
  <r>
    <s v="VAU-44387-624"/>
    <x v="13"/>
    <s v="99643-51048-IQ"/>
    <s v="A-M-0.2"/>
    <n v="6"/>
    <x v="14"/>
    <s v="nbasezziw@webeden.co.uk"/>
    <x v="0"/>
    <x v="2"/>
    <s v="M"/>
    <x v="3"/>
    <n v="3.375"/>
    <n v="20.25"/>
    <s v="Arabica"/>
    <x v="0"/>
    <x v="1"/>
  </r>
  <r>
    <s v="RDW-33155-159"/>
    <x v="14"/>
    <s v="62173-15287-CU"/>
    <s v="A-L-1"/>
    <n v="6"/>
    <x v="15"/>
    <s v="uwelberryy@ebay.co.uk"/>
    <x v="0"/>
    <x v="2"/>
    <s v="L"/>
    <x v="0"/>
    <n v="12.95"/>
    <n v="77.699999999999989"/>
    <s v="Arabica"/>
    <x v="1"/>
    <x v="1"/>
  </r>
  <r>
    <s v="TDZ-59011-211"/>
    <x v="15"/>
    <s v="57611-05522-ST"/>
    <s v="R-D-2.5"/>
    <n v="4"/>
    <x v="16"/>
    <s v="zponting10@altervista.org"/>
    <x v="1"/>
    <x v="0"/>
    <s v="D"/>
    <x v="2"/>
    <n v="20.584999999999997"/>
    <n v="82.339999999999989"/>
    <s v="Robusta"/>
    <x v="2"/>
    <x v="0"/>
  </r>
  <r>
    <s v="IDU-25793-399"/>
    <x v="16"/>
    <s v="76664-37050-DT"/>
    <s v="A-M-0.2"/>
    <n v="5"/>
    <x v="17"/>
    <s v="dde12@unesco.org"/>
    <x v="0"/>
    <x v="2"/>
    <s v="M"/>
    <x v="3"/>
    <n v="3.375"/>
    <n v="16.875"/>
    <s v="Arabica"/>
    <x v="0"/>
    <x v="0"/>
  </r>
  <r>
    <s v="IDU-25793-399"/>
    <x v="16"/>
    <s v="76664-37050-DT"/>
    <s v="E-D-0.2"/>
    <n v="4"/>
    <x v="17"/>
    <s v=""/>
    <x v="0"/>
    <x v="1"/>
    <s v="D"/>
    <x v="3"/>
    <n v="3.645"/>
    <n v="14.58"/>
    <s v="Excelsa"/>
    <x v="2"/>
    <x v="0"/>
  </r>
  <r>
    <s v="NUO-20013-488"/>
    <x v="16"/>
    <s v="03090-88267-BQ"/>
    <s v="A-D-0.2"/>
    <n v="6"/>
    <x v="18"/>
    <s v="atolworthy16@toplist.cz"/>
    <x v="0"/>
    <x v="2"/>
    <s v="D"/>
    <x v="3"/>
    <n v="2.9849999999999999"/>
    <n v="17.91"/>
    <s v="Arabica"/>
    <x v="2"/>
    <x v="1"/>
  </r>
  <r>
    <s v="UQU-65630-479"/>
    <x v="17"/>
    <s v="37651-47492-NC"/>
    <s v="R-M-2.5"/>
    <n v="4"/>
    <x v="19"/>
    <s v="obaudassi18@seesaa.net"/>
    <x v="0"/>
    <x v="0"/>
    <s v="M"/>
    <x v="2"/>
    <n v="22.884999999999998"/>
    <n v="91.539999999999992"/>
    <s v="Robusta"/>
    <x v="0"/>
    <x v="0"/>
  </r>
  <r>
    <s v="FEO-11834-332"/>
    <x v="18"/>
    <s v="95399-57205-HI"/>
    <s v="A-D-0.2"/>
    <n v="4"/>
    <x v="20"/>
    <s v=""/>
    <x v="0"/>
    <x v="2"/>
    <s v="D"/>
    <x v="3"/>
    <n v="2.9849999999999999"/>
    <n v="11.94"/>
    <s v="Arabica"/>
    <x v="2"/>
    <x v="0"/>
  </r>
  <r>
    <s v="TKY-71558-096"/>
    <x v="19"/>
    <s v="24010-66714-HW"/>
    <s v="A-M-1"/>
    <n v="1"/>
    <x v="21"/>
    <s v="rmcgilvary1c@tamu.edu"/>
    <x v="0"/>
    <x v="2"/>
    <s v="M"/>
    <x v="0"/>
    <n v="11.25"/>
    <n v="11.25"/>
    <s v="Arabica"/>
    <x v="0"/>
    <x v="1"/>
  </r>
  <r>
    <s v="OXY-65322-253"/>
    <x v="20"/>
    <s v="07591-92789-UA"/>
    <s v="E-M-0.2"/>
    <n v="3"/>
    <x v="22"/>
    <s v="ibouldon1e@gizmodo.com"/>
    <x v="0"/>
    <x v="1"/>
    <s v="M"/>
    <x v="3"/>
    <n v="4.125"/>
    <n v="12.375"/>
    <s v="Excelsa"/>
    <x v="0"/>
    <x v="0"/>
  </r>
  <r>
    <s v="EVP-43500-491"/>
    <x v="21"/>
    <s v="49231-44455-IC"/>
    <s v="A-M-0.5"/>
    <n v="4"/>
    <x v="23"/>
    <s v="hmattioli1g@webmd.com"/>
    <x v="0"/>
    <x v="2"/>
    <s v="M"/>
    <x v="1"/>
    <n v="6.75"/>
    <n v="27"/>
    <s v="Arabica"/>
    <x v="0"/>
    <x v="0"/>
  </r>
  <r>
    <s v="WAG-26945-689"/>
    <x v="22"/>
    <s v="50124-88608-EO"/>
    <s v="A-M-0.2"/>
    <n v="5"/>
    <x v="24"/>
    <s v="agillard1i@issuu.com"/>
    <x v="1"/>
    <x v="2"/>
    <s v="M"/>
    <x v="3"/>
    <n v="3.375"/>
    <n v="16.875"/>
    <s v="Arabica"/>
    <x v="0"/>
    <x v="1"/>
  </r>
  <r>
    <s v="CHE-78995-767"/>
    <x v="23"/>
    <s v="00888-74814-UZ"/>
    <s v="A-D-0.5"/>
    <n v="3"/>
    <x v="25"/>
    <s v="tgrizard1k@odnoklassniki.ru"/>
    <x v="1"/>
    <x v="2"/>
    <s v="D"/>
    <x v="1"/>
    <n v="5.97"/>
    <n v="17.91"/>
    <s v="Arabica"/>
    <x v="2"/>
    <x v="1"/>
  </r>
  <r>
    <s v="RYZ-14633-602"/>
    <x v="21"/>
    <s v="14158-30713-OB"/>
    <s v="A-D-1"/>
    <n v="4"/>
    <x v="26"/>
    <s v=""/>
    <x v="1"/>
    <x v="2"/>
    <s v="D"/>
    <x v="0"/>
    <n v="9.9499999999999993"/>
    <n v="39.799999999999997"/>
    <s v="Arabica"/>
    <x v="2"/>
    <x v="0"/>
  </r>
  <r>
    <s v="WOQ-36015-429"/>
    <x v="24"/>
    <s v="51427-89175-QJ"/>
    <s v="L-M-0.2"/>
    <n v="5"/>
    <x v="27"/>
    <s v="ccottingham1o@wikipedia.org"/>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bumpleby1u@soundcloud.com"/>
    <x v="0"/>
    <x v="3"/>
    <s v="L"/>
    <x v="3"/>
    <n v="4.7549999999999999"/>
    <n v="23.774999999999999"/>
    <s v="Liberica"/>
    <x v="1"/>
    <x v="1"/>
  </r>
  <r>
    <s v="GFK-52063-244"/>
    <x v="26"/>
    <s v="44981-99666-XB"/>
    <s v="L-L-0.5"/>
    <n v="6"/>
    <x v="29"/>
    <s v="hgoulter1w@abc.net.au"/>
    <x v="2"/>
    <x v="3"/>
    <s v="L"/>
    <x v="1"/>
    <n v="9.51"/>
    <n v="57.06"/>
    <s v="Liberica"/>
    <x v="1"/>
    <x v="0"/>
  </r>
  <r>
    <s v="AMM-79521-378"/>
    <x v="27"/>
    <s v="24825-51803-CQ"/>
    <s v="A-D-0.5"/>
    <n v="6"/>
    <x v="30"/>
    <s v="slist1y@mapquest.com"/>
    <x v="0"/>
    <x v="2"/>
    <s v="D"/>
    <x v="1"/>
    <n v="5.97"/>
    <n v="35.82"/>
    <s v="Arabica"/>
    <x v="2"/>
    <x v="1"/>
  </r>
  <r>
    <s v="QUQ-90580-772"/>
    <x v="28"/>
    <s v="77634-13918-GJ"/>
    <s v="L-M-0.2"/>
    <n v="2"/>
    <x v="31"/>
    <s v=""/>
    <x v="0"/>
    <x v="3"/>
    <s v="M"/>
    <x v="3"/>
    <n v="4.3650000000000002"/>
    <n v="8.73"/>
    <s v="Liberica"/>
    <x v="0"/>
    <x v="1"/>
  </r>
  <r>
    <s v="LGD-24408-274"/>
    <x v="29"/>
    <s v="13694-25001-LX"/>
    <s v="L-L-0.5"/>
    <n v="3"/>
    <x v="32"/>
    <s v="jrangall22@newsvine.com"/>
    <x v="0"/>
    <x v="3"/>
    <s v="L"/>
    <x v="1"/>
    <n v="9.51"/>
    <n v="28.53"/>
    <s v="Liberica"/>
    <x v="1"/>
    <x v="1"/>
  </r>
  <r>
    <s v="HCT-95608-959"/>
    <x v="30"/>
    <s v="08523-01791-TI"/>
    <s v="R-M-2.5"/>
    <n v="5"/>
    <x v="33"/>
    <s v=""/>
    <x v="0"/>
    <x v="0"/>
    <s v="M"/>
    <x v="2"/>
    <n v="22.884999999999998"/>
    <n v="114.42499999999998"/>
    <s v="Robusta"/>
    <x v="0"/>
    <x v="1"/>
  </r>
  <r>
    <s v="OFX-99147-470"/>
    <x v="31"/>
    <s v="49860-68865-AB"/>
    <s v="R-M-1"/>
    <n v="6"/>
    <x v="34"/>
    <s v="lmizzi26@rakuten.co.jp"/>
    <x v="0"/>
    <x v="0"/>
    <s v="M"/>
    <x v="0"/>
    <n v="9.9499999999999993"/>
    <n v="59.699999999999996"/>
    <s v="Robusta"/>
    <x v="0"/>
    <x v="0"/>
  </r>
  <r>
    <s v="LUO-37559-016"/>
    <x v="32"/>
    <s v="21240-83132-SP"/>
    <s v="L-M-1"/>
    <n v="3"/>
    <x v="35"/>
    <s v="aarnow28@arizona.edu"/>
    <x v="0"/>
    <x v="3"/>
    <s v="M"/>
    <x v="0"/>
    <n v="14.55"/>
    <n v="43.650000000000006"/>
    <s v="Liberica"/>
    <x v="0"/>
    <x v="1"/>
  </r>
  <r>
    <s v="XWC-20610-167"/>
    <x v="33"/>
    <s v="08350-81623-TF"/>
    <s v="E-D-0.2"/>
    <n v="2"/>
    <x v="36"/>
    <s v="bnaulls2a@tiny.cc"/>
    <x v="0"/>
    <x v="1"/>
    <s v="D"/>
    <x v="3"/>
    <n v="3.645"/>
    <n v="7.29"/>
    <s v="Excelsa"/>
    <x v="2"/>
    <x v="0"/>
  </r>
  <r>
    <s v="GPU-79113-136"/>
    <x v="34"/>
    <s v="73284-01385-SJ"/>
    <s v="R-D-0.2"/>
    <n v="3"/>
    <x v="37"/>
    <s v="zsherewood2c@apache.org"/>
    <x v="0"/>
    <x v="0"/>
    <s v="D"/>
    <x v="3"/>
    <n v="2.6849999999999996"/>
    <n v="8.0549999999999997"/>
    <s v="Robusta"/>
    <x v="2"/>
    <x v="0"/>
  </r>
  <r>
    <s v="ULR-52653-960"/>
    <x v="35"/>
    <s v="04152-34436-IE"/>
    <s v="L-L-2.5"/>
    <n v="2"/>
    <x v="38"/>
    <s v="bmcamish2e@tripadvisor.com"/>
    <x v="0"/>
    <x v="3"/>
    <s v="L"/>
    <x v="2"/>
    <n v="36.454999999999998"/>
    <n v="72.91"/>
    <s v="Liberica"/>
    <x v="1"/>
    <x v="1"/>
  </r>
  <r>
    <s v="HPI-42308-142"/>
    <x v="36"/>
    <s v="06631-86965-XP"/>
    <s v="E-M-0.5"/>
    <n v="2"/>
    <x v="39"/>
    <s v="egrise2g@cargocollective.com"/>
    <x v="0"/>
    <x v="1"/>
    <s v="M"/>
    <x v="1"/>
    <n v="8.25"/>
    <n v="16.5"/>
    <s v="Excelsa"/>
    <x v="0"/>
    <x v="0"/>
  </r>
  <r>
    <s v="XHI-30227-581"/>
    <x v="37"/>
    <s v="54619-08558-ZU"/>
    <s v="L-D-2.5"/>
    <n v="6"/>
    <x v="40"/>
    <s v=""/>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
    <x v="0"/>
    <x v="2"/>
    <s v="L"/>
    <x v="3"/>
    <n v="3.8849999999999998"/>
    <n v="7.77"/>
    <s v="Arabica"/>
    <x v="1"/>
    <x v="0"/>
  </r>
  <r>
    <s v="DBU-81099-586"/>
    <x v="40"/>
    <s v="15770-27099-GX"/>
    <s v="A-D-2.5"/>
    <n v="4"/>
    <x v="43"/>
    <s v="vkirdsch2o@google.fr"/>
    <x v="0"/>
    <x v="2"/>
    <s v="D"/>
    <x v="2"/>
    <n v="22.884999999999998"/>
    <n v="91.539999999999992"/>
    <s v="Arabica"/>
    <x v="2"/>
    <x v="1"/>
  </r>
  <r>
    <s v="PQA-54820-810"/>
    <x v="41"/>
    <s v="91460-04823-BX"/>
    <s v="A-L-1"/>
    <n v="3"/>
    <x v="44"/>
    <s v=""/>
    <x v="0"/>
    <x v="2"/>
    <s v="L"/>
    <x v="0"/>
    <n v="12.95"/>
    <n v="38.849999999999994"/>
    <s v="Arabica"/>
    <x v="1"/>
    <x v="1"/>
  </r>
  <r>
    <s v="XKB-41924-202"/>
    <x v="42"/>
    <s v="45089-52817-WN"/>
    <s v="L-D-0.5"/>
    <n v="2"/>
    <x v="45"/>
    <s v=""/>
    <x v="0"/>
    <x v="3"/>
    <s v="D"/>
    <x v="1"/>
    <n v="7.77"/>
    <n v="15.54"/>
    <s v="Liberica"/>
    <x v="2"/>
    <x v="1"/>
  </r>
  <r>
    <s v="DWZ-69106-473"/>
    <x v="43"/>
    <s v="76447-50326-IC"/>
    <s v="L-L-2.5"/>
    <n v="4"/>
    <x v="46"/>
    <s v="daizikovitz2u@answers.com"/>
    <x v="1"/>
    <x v="3"/>
    <s v="L"/>
    <x v="2"/>
    <n v="36.454999999999998"/>
    <n v="145.82"/>
    <s v="Liberica"/>
    <x v="1"/>
    <x v="0"/>
  </r>
  <r>
    <s v="YHV-68700-050"/>
    <x v="44"/>
    <s v="26333-67911-OL"/>
    <s v="R-M-0.5"/>
    <n v="5"/>
    <x v="47"/>
    <s v="epriddis2w@nationalgeographic.com"/>
    <x v="2"/>
    <x v="0"/>
    <s v="M"/>
    <x v="1"/>
    <n v="5.97"/>
    <n v="29.849999999999998"/>
    <s v="Robusta"/>
    <x v="0"/>
    <x v="1"/>
  </r>
  <r>
    <s v="YHV-68700-050"/>
    <x v="44"/>
    <s v="26333-67911-OL"/>
    <s v="L-L-2.5"/>
    <n v="2"/>
    <x v="47"/>
    <s v="qveel2x@jugem.jp"/>
    <x v="2"/>
    <x v="3"/>
    <s v="L"/>
    <x v="2"/>
    <n v="36.454999999999998"/>
    <n v="72.91"/>
    <s v="Liberica"/>
    <x v="1"/>
    <x v="1"/>
  </r>
  <r>
    <s v="KRB-88066-642"/>
    <x v="45"/>
    <s v="22107-86640-SB"/>
    <s v="L-M-1"/>
    <n v="5"/>
    <x v="48"/>
    <s v=""/>
    <x v="0"/>
    <x v="3"/>
    <s v="M"/>
    <x v="0"/>
    <n v="14.55"/>
    <n v="72.75"/>
    <s v="Liberica"/>
    <x v="0"/>
    <x v="1"/>
  </r>
  <r>
    <s v="LQU-08404-173"/>
    <x v="46"/>
    <s v="09960-34242-LZ"/>
    <s v="L-L-1"/>
    <n v="3"/>
    <x v="49"/>
    <s v="mredgrave32@cargocollective.com"/>
    <x v="0"/>
    <x v="3"/>
    <s v="L"/>
    <x v="0"/>
    <n v="15.85"/>
    <n v="47.55"/>
    <s v="Liberica"/>
    <x v="1"/>
    <x v="1"/>
  </r>
  <r>
    <s v="CWK-60159-881"/>
    <x v="47"/>
    <s v="04671-85591-RT"/>
    <s v="E-D-0.2"/>
    <n v="3"/>
    <x v="50"/>
    <s v="scritchlow34@un.org"/>
    <x v="0"/>
    <x v="1"/>
    <s v="D"/>
    <x v="3"/>
    <n v="3.645"/>
    <n v="10.935"/>
    <s v="Excelsa"/>
    <x v="2"/>
    <x v="0"/>
  </r>
  <r>
    <s v="EEG-74197-843"/>
    <x v="48"/>
    <s v="25729-68859-UA"/>
    <s v="E-L-1"/>
    <n v="4"/>
    <x v="51"/>
    <s v=""/>
    <x v="0"/>
    <x v="1"/>
    <s v="L"/>
    <x v="0"/>
    <n v="14.85"/>
    <n v="59.4"/>
    <s v="Excelsa"/>
    <x v="1"/>
    <x v="1"/>
  </r>
  <r>
    <s v="UCZ-59708-525"/>
    <x v="49"/>
    <s v="05501-86351-NX"/>
    <s v="L-D-2.5"/>
    <n v="3"/>
    <x v="52"/>
    <s v="gstandley38@dion.ne.jp"/>
    <x v="0"/>
    <x v="3"/>
    <s v="D"/>
    <x v="2"/>
    <n v="29.784999999999997"/>
    <n v="89.35499999999999"/>
    <s v="Liberica"/>
    <x v="2"/>
    <x v="0"/>
  </r>
  <r>
    <s v="HUB-47311-849"/>
    <x v="50"/>
    <s v="04521-04300-OK"/>
    <s v="L-M-0.5"/>
    <n v="3"/>
    <x v="53"/>
    <s v="myallop3a@fema.gov"/>
    <x v="0"/>
    <x v="3"/>
    <s v="M"/>
    <x v="1"/>
    <n v="8.73"/>
    <n v="26.19"/>
    <s v="Liberica"/>
    <x v="0"/>
    <x v="0"/>
  </r>
  <r>
    <s v="WYM-17686-694"/>
    <x v="51"/>
    <s v="58689-55264-VK"/>
    <s v="A-D-2.5"/>
    <n v="5"/>
    <x v="54"/>
    <s v="ehows3c@devhub.com"/>
    <x v="0"/>
    <x v="2"/>
    <s v="D"/>
    <x v="2"/>
    <n v="22.884999999999998"/>
    <n v="114.42499999999998"/>
    <s v="Arabica"/>
    <x v="2"/>
    <x v="1"/>
  </r>
  <r>
    <s v="ZYQ-15797-695"/>
    <x v="52"/>
    <s v="79436-73011-MM"/>
    <s v="R-D-0.5"/>
    <n v="5"/>
    <x v="55"/>
    <s v="mludwell3e@blogger.com"/>
    <x v="2"/>
    <x v="0"/>
    <s v="D"/>
    <x v="1"/>
    <n v="5.3699999999999992"/>
    <n v="26.849999999999994"/>
    <s v="Robusta"/>
    <x v="2"/>
    <x v="0"/>
  </r>
  <r>
    <s v="EEJ-16185-108"/>
    <x v="53"/>
    <s v="65552-60476-KY"/>
    <s v="L-L-0.2"/>
    <n v="5"/>
    <x v="56"/>
    <s v="srodliff3g@ted.com"/>
    <x v="0"/>
    <x v="3"/>
    <s v="L"/>
    <x v="3"/>
    <n v="4.7549999999999999"/>
    <n v="23.774999999999999"/>
    <s v="Liberica"/>
    <x v="1"/>
    <x v="0"/>
  </r>
  <r>
    <s v="RWR-77888-800"/>
    <x v="54"/>
    <s v="69904-02729-YS"/>
    <s v="A-M-0.5"/>
    <n v="1"/>
    <x v="57"/>
    <s v="hsynnot3i@about.com"/>
    <x v="0"/>
    <x v="2"/>
    <s v="M"/>
    <x v="1"/>
    <n v="6.75"/>
    <n v="6.75"/>
    <s v="Arabica"/>
    <x v="0"/>
    <x v="1"/>
  </r>
  <r>
    <s v="LHN-75209-742"/>
    <x v="55"/>
    <s v="01433-04270-AX"/>
    <s v="R-M-0.5"/>
    <n v="6"/>
    <x v="58"/>
    <s v="twoofinden3k@businesswire.com"/>
    <x v="0"/>
    <x v="0"/>
    <s v="M"/>
    <x v="1"/>
    <n v="5.97"/>
    <n v="35.82"/>
    <s v="Robusta"/>
    <x v="0"/>
    <x v="0"/>
  </r>
  <r>
    <s v="TIR-71396-998"/>
    <x v="56"/>
    <s v="14204-14186-LA"/>
    <s v="R-D-2.5"/>
    <n v="4"/>
    <x v="59"/>
    <s v=""/>
    <x v="0"/>
    <x v="0"/>
    <s v="D"/>
    <x v="2"/>
    <n v="20.584999999999997"/>
    <n v="82.339999999999989"/>
    <s v="Robusta"/>
    <x v="2"/>
    <x v="0"/>
  </r>
  <r>
    <s v="RXF-37618-213"/>
    <x v="57"/>
    <s v="32948-34398-HC"/>
    <s v="R-L-0.5"/>
    <n v="1"/>
    <x v="60"/>
    <s v="orobins3o@salon.com"/>
    <x v="0"/>
    <x v="0"/>
    <s v="L"/>
    <x v="1"/>
    <n v="7.169999999999999"/>
    <n v="7.169999999999999"/>
    <s v="Robusta"/>
    <x v="1"/>
    <x v="0"/>
  </r>
  <r>
    <s v="ANM-16388-634"/>
    <x v="58"/>
    <s v="77343-52608-FF"/>
    <s v="L-L-0.2"/>
    <n v="2"/>
    <x v="61"/>
    <s v=""/>
    <x v="0"/>
    <x v="3"/>
    <s v="L"/>
    <x v="3"/>
    <n v="4.7549999999999999"/>
    <n v="9.51"/>
    <s v="Liberica"/>
    <x v="1"/>
    <x v="1"/>
  </r>
  <r>
    <s v="WYL-29300-070"/>
    <x v="59"/>
    <s v="42770-36274-QA"/>
    <s v="R-M-0.2"/>
    <n v="1"/>
    <x v="62"/>
    <s v="lkeenleyside3s@topsy.com"/>
    <x v="0"/>
    <x v="0"/>
    <s v="M"/>
    <x v="3"/>
    <n v="2.9849999999999999"/>
    <n v="2.9849999999999999"/>
    <s v="Robusta"/>
    <x v="0"/>
    <x v="1"/>
  </r>
  <r>
    <s v="JHW-74554-805"/>
    <x v="60"/>
    <s v="14103-58987-ZU"/>
    <s v="R-M-1"/>
    <n v="6"/>
    <x v="63"/>
    <s v=""/>
    <x v="2"/>
    <x v="0"/>
    <s v="M"/>
    <x v="0"/>
    <n v="9.9499999999999993"/>
    <n v="59.699999999999996"/>
    <s v="Robusta"/>
    <x v="0"/>
    <x v="0"/>
  </r>
  <r>
    <s v="KYS-27063-603"/>
    <x v="61"/>
    <s v="69958-32065-SW"/>
    <s v="E-L-2.5"/>
    <n v="4"/>
    <x v="64"/>
    <s v="vkundt3w@bigcartel.com"/>
    <x v="0"/>
    <x v="1"/>
    <s v="L"/>
    <x v="2"/>
    <n v="34.154999999999994"/>
    <n v="136.61999999999998"/>
    <s v="Excelsa"/>
    <x v="1"/>
    <x v="1"/>
  </r>
  <r>
    <s v="GAZ-58626-277"/>
    <x v="62"/>
    <s v="69533-84907-FA"/>
    <s v="L-L-0.2"/>
    <n v="2"/>
    <x v="65"/>
    <s v=""/>
    <x v="1"/>
    <x v="3"/>
    <s v="L"/>
    <x v="3"/>
    <n v="4.7549999999999999"/>
    <n v="9.51"/>
    <s v="Liberica"/>
    <x v="1"/>
    <x v="1"/>
  </r>
  <r>
    <s v="RPJ-37787-335"/>
    <x v="63"/>
    <s v="76005-95461-CI"/>
    <s v="A-M-2.5"/>
    <n v="3"/>
    <x v="66"/>
    <s v="wkeyse40@apple.com"/>
    <x v="0"/>
    <x v="2"/>
    <s v="M"/>
    <x v="2"/>
    <n v="25.874999999999996"/>
    <n v="77.624999999999986"/>
    <s v="Arabica"/>
    <x v="0"/>
    <x v="1"/>
  </r>
  <r>
    <s v="LEF-83057-763"/>
    <x v="64"/>
    <s v="15395-90855-VB"/>
    <s v="L-M-0.2"/>
    <n v="5"/>
    <x v="67"/>
    <s v="lfrancisco42@fema.gov"/>
    <x v="0"/>
    <x v="3"/>
    <s v="M"/>
    <x v="3"/>
    <n v="4.3650000000000002"/>
    <n v="21.825000000000003"/>
    <s v="Liberica"/>
    <x v="0"/>
    <x v="0"/>
  </r>
  <r>
    <s v="RPW-36123-215"/>
    <x v="65"/>
    <s v="80640-45811-LB"/>
    <s v="E-L-0.5"/>
    <n v="2"/>
    <x v="68"/>
    <s v="gskingle44@clickbank.net"/>
    <x v="0"/>
    <x v="1"/>
    <s v="L"/>
    <x v="1"/>
    <n v="8.91"/>
    <n v="17.82"/>
    <s v="Excelsa"/>
    <x v="1"/>
    <x v="0"/>
  </r>
  <r>
    <s v="WLL-59044-117"/>
    <x v="66"/>
    <s v="28476-04082-GR"/>
    <s v="R-D-1"/>
    <n v="6"/>
    <x v="69"/>
    <s v="jbalsillie46@princeton.edu"/>
    <x v="1"/>
    <x v="0"/>
    <s v="D"/>
    <x v="0"/>
    <n v="8.9499999999999993"/>
    <n v="53.699999999999996"/>
    <s v="Robusta"/>
    <x v="2"/>
    <x v="0"/>
  </r>
  <r>
    <s v="AWT-22827-563"/>
    <x v="67"/>
    <s v="12018-75670-EU"/>
    <s v="R-L-0.2"/>
    <n v="1"/>
    <x v="70"/>
    <s v="bleffek48@ning.com"/>
    <x v="1"/>
    <x v="0"/>
    <s v="L"/>
    <x v="3"/>
    <n v="3.5849999999999995"/>
    <n v="3.5849999999999995"/>
    <s v="Robusta"/>
    <x v="1"/>
    <x v="0"/>
  </r>
  <r>
    <s v="QLM-07145-668"/>
    <x v="68"/>
    <s v="86437-17399-FK"/>
    <s v="E-D-0.2"/>
    <n v="2"/>
    <x v="71"/>
    <s v="jpray4a@youtube.com"/>
    <x v="0"/>
    <x v="1"/>
    <s v="D"/>
    <x v="3"/>
    <n v="3.645"/>
    <n v="7.29"/>
    <s v="Excelsa"/>
    <x v="2"/>
    <x v="1"/>
  </r>
  <r>
    <s v="HVQ-64398-930"/>
    <x v="69"/>
    <s v="62979-53167-ML"/>
    <s v="A-M-0.5"/>
    <n v="6"/>
    <x v="72"/>
    <s v="fkeinrat4c@dailymail.co.uk"/>
    <x v="0"/>
    <x v="2"/>
    <s v="M"/>
    <x v="1"/>
    <n v="6.75"/>
    <n v="40.5"/>
    <s v="Arabica"/>
    <x v="0"/>
    <x v="0"/>
  </r>
  <r>
    <s v="WRT-40778-247"/>
    <x v="70"/>
    <s v="54810-81899-HL"/>
    <s v="R-L-1"/>
    <n v="4"/>
    <x v="73"/>
    <s v=""/>
    <x v="0"/>
    <x v="0"/>
    <s v="L"/>
    <x v="0"/>
    <n v="11.95"/>
    <n v="47.8"/>
    <s v="Robusta"/>
    <x v="1"/>
    <x v="1"/>
  </r>
  <r>
    <s v="SUB-13006-125"/>
    <x v="71"/>
    <s v="26103-41504-IB"/>
    <s v="A-L-0.5"/>
    <n v="5"/>
    <x v="74"/>
    <s v="kswede4g@addthis.com"/>
    <x v="0"/>
    <x v="2"/>
    <s v="L"/>
    <x v="1"/>
    <n v="7.77"/>
    <n v="38.849999999999994"/>
    <s v="Arabica"/>
    <x v="1"/>
    <x v="0"/>
  </r>
  <r>
    <s v="CQM-49696-263"/>
    <x v="72"/>
    <s v="76534-45229-SG"/>
    <s v="L-L-2.5"/>
    <n v="3"/>
    <x v="75"/>
    <s v="dtift4i@netvibes.com"/>
    <x v="0"/>
    <x v="3"/>
    <s v="L"/>
    <x v="2"/>
    <n v="36.454999999999998"/>
    <n v="109.36499999999999"/>
    <s v="Liberica"/>
    <x v="1"/>
    <x v="0"/>
  </r>
  <r>
    <s v="KXN-85094-246"/>
    <x v="73"/>
    <s v="81744-27332-RR"/>
    <s v="L-M-2.5"/>
    <n v="3"/>
    <x v="76"/>
    <s v="cfeye4k@google.co.jp"/>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
    <x v="0"/>
    <x v="3"/>
    <s v="L"/>
    <x v="1"/>
    <n v="9.51"/>
    <n v="9.51"/>
    <s v="Liberica"/>
    <x v="1"/>
    <x v="1"/>
  </r>
  <r>
    <s v="XXJ-47000-307"/>
    <x v="76"/>
    <s v="31582-23562-FM"/>
    <s v="A-L-2.5"/>
    <n v="3"/>
    <x v="79"/>
    <s v="searley4q@youku.com"/>
    <x v="0"/>
    <x v="2"/>
    <s v="L"/>
    <x v="2"/>
    <n v="29.784999999999997"/>
    <n v="89.35499999999999"/>
    <s v="Arabica"/>
    <x v="1"/>
    <x v="1"/>
  </r>
  <r>
    <s v="XXJ-47000-307"/>
    <x v="76"/>
    <s v="31582-23562-FM"/>
    <s v="A-D-0.2"/>
    <n v="4"/>
    <x v="79"/>
    <s v="mchamberlayne4r@bigcartel.com"/>
    <x v="0"/>
    <x v="2"/>
    <s v="D"/>
    <x v="3"/>
    <n v="2.9849999999999999"/>
    <n v="11.94"/>
    <s v="Arabica"/>
    <x v="2"/>
    <x v="1"/>
  </r>
  <r>
    <s v="ZDK-82166-357"/>
    <x v="77"/>
    <s v="81431-12577-VD"/>
    <s v="A-M-1"/>
    <n v="3"/>
    <x v="80"/>
    <s v=""/>
    <x v="0"/>
    <x v="2"/>
    <s v="M"/>
    <x v="0"/>
    <n v="11.25"/>
    <n v="33.75"/>
    <s v="Arabica"/>
    <x v="0"/>
    <x v="1"/>
  </r>
  <r>
    <s v="IHN-19982-362"/>
    <x v="78"/>
    <s v="68894-91205-MP"/>
    <s v="R-L-1"/>
    <n v="3"/>
    <x v="81"/>
    <s v="othynne4w@auda.org.au"/>
    <x v="0"/>
    <x v="0"/>
    <s v="L"/>
    <x v="0"/>
    <n v="11.95"/>
    <n v="35.849999999999994"/>
    <s v="Robusta"/>
    <x v="1"/>
    <x v="1"/>
  </r>
  <r>
    <s v="VMT-10030-889"/>
    <x v="79"/>
    <s v="87602-55754-VN"/>
    <s v="A-L-1"/>
    <n v="6"/>
    <x v="82"/>
    <s v="kmelloi4y@imdb.com"/>
    <x v="0"/>
    <x v="2"/>
    <s v="L"/>
    <x v="0"/>
    <n v="12.95"/>
    <n v="77.699999999999989"/>
    <s v="Arabica"/>
    <x v="1"/>
    <x v="1"/>
  </r>
  <r>
    <s v="NHL-11063-100"/>
    <x v="80"/>
    <s v="39181-35745-WH"/>
    <s v="A-L-1"/>
    <n v="4"/>
    <x v="83"/>
    <s v="amussen50@51.la"/>
    <x v="1"/>
    <x v="2"/>
    <s v="L"/>
    <x v="0"/>
    <n v="12.95"/>
    <n v="51.8"/>
    <s v="Arabica"/>
    <x v="1"/>
    <x v="0"/>
  </r>
  <r>
    <s v="ROV-87448-086"/>
    <x v="81"/>
    <s v="30381-64762-NG"/>
    <s v="A-M-2.5"/>
    <n v="4"/>
    <x v="84"/>
    <s v="amundford52@nbcnews.com"/>
    <x v="0"/>
    <x v="2"/>
    <s v="M"/>
    <x v="2"/>
    <n v="25.874999999999996"/>
    <n v="103.49999999999999"/>
    <s v="Arabica"/>
    <x v="0"/>
    <x v="1"/>
  </r>
  <r>
    <s v="DGY-35773-612"/>
    <x v="82"/>
    <s v="17503-27693-ZH"/>
    <s v="E-L-1"/>
    <n v="3"/>
    <x v="85"/>
    <s v="iblazewicz54@thetimes.co.uk"/>
    <x v="0"/>
    <x v="1"/>
    <s v="L"/>
    <x v="0"/>
    <n v="14.85"/>
    <n v="44.55"/>
    <s v="Excelsa"/>
    <x v="1"/>
    <x v="0"/>
  </r>
  <r>
    <s v="YWH-50638-556"/>
    <x v="83"/>
    <s v="89442-35633-HJ"/>
    <s v="E-L-0.5"/>
    <n v="4"/>
    <x v="86"/>
    <s v="mmeriet56@noaa.gov"/>
    <x v="2"/>
    <x v="1"/>
    <s v="L"/>
    <x v="1"/>
    <n v="8.91"/>
    <n v="35.64"/>
    <s v="Excelsa"/>
    <x v="1"/>
    <x v="0"/>
  </r>
  <r>
    <s v="ISL-11200-600"/>
    <x v="84"/>
    <s v="13654-85265-IL"/>
    <s v="A-D-0.2"/>
    <n v="6"/>
    <x v="87"/>
    <s v="akitchingham58@com.com"/>
    <x v="1"/>
    <x v="2"/>
    <s v="D"/>
    <x v="3"/>
    <n v="2.9849999999999999"/>
    <n v="17.91"/>
    <s v="Arabica"/>
    <x v="2"/>
    <x v="0"/>
  </r>
  <r>
    <s v="LBZ-75997-047"/>
    <x v="85"/>
    <s v="40946-22090-FP"/>
    <s v="A-M-2.5"/>
    <n v="6"/>
    <x v="88"/>
    <s v="mprinn5a@usa.gov"/>
    <x v="0"/>
    <x v="2"/>
    <s v="M"/>
    <x v="2"/>
    <n v="25.874999999999996"/>
    <n v="155.24999999999997"/>
    <s v="Arabica"/>
    <x v="0"/>
    <x v="1"/>
  </r>
  <r>
    <s v="EUH-08089-954"/>
    <x v="86"/>
    <s v="29050-93691-TS"/>
    <s v="A-D-0.2"/>
    <n v="2"/>
    <x v="89"/>
    <s v="ppetrushanko5c@blinklist.com"/>
    <x v="0"/>
    <x v="2"/>
    <s v="D"/>
    <x v="3"/>
    <n v="2.9849999999999999"/>
    <n v="5.97"/>
    <s v="Arabica"/>
    <x v="2"/>
    <x v="1"/>
  </r>
  <r>
    <s v="BLD-12227-251"/>
    <x v="87"/>
    <s v="64395-74865-WF"/>
    <s v="A-M-0.5"/>
    <n v="2"/>
    <x v="90"/>
    <s v="elaird5e@bing.com"/>
    <x v="0"/>
    <x v="2"/>
    <s v="M"/>
    <x v="1"/>
    <n v="6.75"/>
    <n v="13.5"/>
    <s v="Arabica"/>
    <x v="0"/>
    <x v="1"/>
  </r>
  <r>
    <s v="OPY-30711-853"/>
    <x v="25"/>
    <s v="81861-66046-SU"/>
    <s v="A-D-0.2"/>
    <n v="1"/>
    <x v="91"/>
    <s v="ncuttler5g@parallels.com"/>
    <x v="1"/>
    <x v="2"/>
    <s v="D"/>
    <x v="3"/>
    <n v="2.9849999999999999"/>
    <n v="2.9849999999999999"/>
    <s v="Arabica"/>
    <x v="2"/>
    <x v="1"/>
  </r>
  <r>
    <s v="DBC-44122-300"/>
    <x v="88"/>
    <s v="13366-78506-KP"/>
    <s v="L-M-0.2"/>
    <n v="3"/>
    <x v="92"/>
    <s v="jmunnings5i@springer.com"/>
    <x v="0"/>
    <x v="3"/>
    <s v="M"/>
    <x v="3"/>
    <n v="4.3650000000000002"/>
    <n v="13.095000000000001"/>
    <s v="Liberica"/>
    <x v="0"/>
    <x v="0"/>
  </r>
  <r>
    <s v="FJQ-60035-234"/>
    <x v="89"/>
    <s v="08847-29858-HN"/>
    <s v="A-L-0.2"/>
    <n v="2"/>
    <x v="93"/>
    <s v="idunwoody5k@sourceforge.net"/>
    <x v="0"/>
    <x v="2"/>
    <s v="L"/>
    <x v="3"/>
    <n v="3.8849999999999998"/>
    <n v="7.77"/>
    <s v="Arabica"/>
    <x v="1"/>
    <x v="0"/>
  </r>
  <r>
    <s v="HSF-66926-425"/>
    <x v="90"/>
    <s v="00539-42510-RY"/>
    <s v="L-D-2.5"/>
    <n v="5"/>
    <x v="94"/>
    <s v="tfelip5m@typepad.com"/>
    <x v="1"/>
    <x v="3"/>
    <s v="D"/>
    <x v="2"/>
    <n v="29.784999999999997"/>
    <n v="148.92499999999998"/>
    <s v="Liberica"/>
    <x v="2"/>
    <x v="0"/>
  </r>
  <r>
    <s v="LQG-41416-375"/>
    <x v="91"/>
    <s v="45190-08727-NV"/>
    <s v="L-D-1"/>
    <n v="3"/>
    <x v="95"/>
    <s v=""/>
    <x v="1"/>
    <x v="3"/>
    <s v="D"/>
    <x v="0"/>
    <n v="12.95"/>
    <n v="38.849999999999994"/>
    <s v="Liberica"/>
    <x v="2"/>
    <x v="0"/>
  </r>
  <r>
    <s v="VZO-97265-841"/>
    <x v="92"/>
    <s v="87049-37901-FU"/>
    <s v="R-M-0.2"/>
    <n v="4"/>
    <x v="96"/>
    <s v="npoolman5q@howstuffworks.com"/>
    <x v="0"/>
    <x v="0"/>
    <s v="M"/>
    <x v="3"/>
    <n v="2.9849999999999999"/>
    <n v="11.94"/>
    <s v="Robusta"/>
    <x v="0"/>
    <x v="1"/>
  </r>
  <r>
    <s v="MOR-12987-399"/>
    <x v="93"/>
    <s v="34015-31593-JC"/>
    <s v="L-M-1"/>
    <n v="6"/>
    <x v="97"/>
    <s v="chalfhide5s@google.ru"/>
    <x v="0"/>
    <x v="3"/>
    <s v="M"/>
    <x v="0"/>
    <n v="14.55"/>
    <n v="87.300000000000011"/>
    <s v="Liberica"/>
    <x v="0"/>
    <x v="1"/>
  </r>
  <r>
    <s v="UOA-23786-489"/>
    <x v="94"/>
    <s v="90305-50099-SV"/>
    <s v="A-M-0.5"/>
    <n v="6"/>
    <x v="98"/>
    <s v="aattwater5u@wikia.com"/>
    <x v="0"/>
    <x v="2"/>
    <s v="M"/>
    <x v="1"/>
    <n v="6.75"/>
    <n v="40.5"/>
    <s v="Arabica"/>
    <x v="0"/>
    <x v="0"/>
  </r>
  <r>
    <s v="AJL-52941-018"/>
    <x v="95"/>
    <s v="55871-61935-MF"/>
    <s v="E-D-1"/>
    <n v="2"/>
    <x v="99"/>
    <s v="dcamilletti5w@businesswire.com"/>
    <x v="0"/>
    <x v="1"/>
    <s v="D"/>
    <x v="0"/>
    <n v="12.15"/>
    <n v="24.3"/>
    <s v="Excelsa"/>
    <x v="2"/>
    <x v="1"/>
  </r>
  <r>
    <s v="XSZ-84273-421"/>
    <x v="96"/>
    <s v="15405-60469-TM"/>
    <s v="R-M-0.5"/>
    <n v="3"/>
    <x v="100"/>
    <s v="mhame5y@newsvine.com"/>
    <x v="0"/>
    <x v="0"/>
    <s v="M"/>
    <x v="1"/>
    <n v="5.97"/>
    <n v="17.91"/>
    <s v="Robusta"/>
    <x v="0"/>
    <x v="0"/>
  </r>
  <r>
    <s v="NUN-48214-216"/>
    <x v="97"/>
    <s v="06953-94794-FB"/>
    <s v="A-M-0.5"/>
    <n v="4"/>
    <x v="101"/>
    <s v="asnowding60@comsenz.com"/>
    <x v="0"/>
    <x v="2"/>
    <s v="M"/>
    <x v="1"/>
    <n v="6.75"/>
    <n v="27"/>
    <s v="Arabica"/>
    <x v="0"/>
    <x v="1"/>
  </r>
  <r>
    <s v="AKV-93064-769"/>
    <x v="98"/>
    <s v="22305-40299-CY"/>
    <s v="L-D-0.5"/>
    <n v="1"/>
    <x v="102"/>
    <s v="rfurman62@t.co"/>
    <x v="0"/>
    <x v="3"/>
    <s v="D"/>
    <x v="1"/>
    <n v="7.77"/>
    <n v="7.77"/>
    <s v="Liberica"/>
    <x v="2"/>
    <x v="0"/>
  </r>
  <r>
    <s v="BRB-40903-533"/>
    <x v="99"/>
    <s v="09020-56774-GU"/>
    <s v="E-L-0.2"/>
    <n v="3"/>
    <x v="103"/>
    <s v="mpercifull64@netlog.com"/>
    <x v="0"/>
    <x v="1"/>
    <s v="L"/>
    <x v="3"/>
    <n v="4.4550000000000001"/>
    <n v="13.365"/>
    <s v="Excelsa"/>
    <x v="1"/>
    <x v="0"/>
  </r>
  <r>
    <s v="GPR-19973-483"/>
    <x v="100"/>
    <s v="92926-08470-YS"/>
    <s v="R-D-0.5"/>
    <n v="5"/>
    <x v="104"/>
    <s v="wedinborough66@github.io"/>
    <x v="0"/>
    <x v="0"/>
    <s v="D"/>
    <x v="1"/>
    <n v="5.3699999999999992"/>
    <n v="26.849999999999994"/>
    <s v="Robusta"/>
    <x v="2"/>
    <x v="1"/>
  </r>
  <r>
    <s v="XIY-43041-882"/>
    <x v="101"/>
    <s v="07250-63194-JO"/>
    <s v="A-M-1"/>
    <n v="1"/>
    <x v="105"/>
    <s v="kbromehead68@un.org"/>
    <x v="0"/>
    <x v="2"/>
    <s v="M"/>
    <x v="0"/>
    <n v="11.25"/>
    <n v="11.25"/>
    <s v="Arabica"/>
    <x v="0"/>
    <x v="1"/>
  </r>
  <r>
    <s v="YGY-98425-969"/>
    <x v="102"/>
    <s v="63787-96257-TQ"/>
    <s v="L-M-1"/>
    <n v="1"/>
    <x v="106"/>
    <s v="ahutchens6a@amazonaws.com"/>
    <x v="1"/>
    <x v="3"/>
    <s v="M"/>
    <x v="0"/>
    <n v="14.55"/>
    <n v="14.55"/>
    <s v="Liberica"/>
    <x v="0"/>
    <x v="1"/>
  </r>
  <r>
    <s v="MSB-08397-648"/>
    <x v="103"/>
    <s v="49530-25460-RW"/>
    <s v="R-L-0.2"/>
    <n v="4"/>
    <x v="107"/>
    <s v="bmathon6c@barnesandnoble.com"/>
    <x v="0"/>
    <x v="0"/>
    <s v="L"/>
    <x v="3"/>
    <n v="3.5849999999999995"/>
    <n v="14.339999999999998"/>
    <s v="Robusta"/>
    <x v="1"/>
    <x v="1"/>
  </r>
  <r>
    <s v="WDR-06028-345"/>
    <x v="104"/>
    <s v="66508-21373-OQ"/>
    <s v="L-L-1"/>
    <n v="1"/>
    <x v="108"/>
    <s v="pcutchie6e@globo.com"/>
    <x v="2"/>
    <x v="3"/>
    <s v="L"/>
    <x v="0"/>
    <n v="15.85"/>
    <n v="15.85"/>
    <s v="Liberica"/>
    <x v="1"/>
    <x v="1"/>
  </r>
  <r>
    <s v="MXM-42948-061"/>
    <x v="105"/>
    <s v="20203-03950-FY"/>
    <s v="L-L-0.2"/>
    <n v="4"/>
    <x v="109"/>
    <s v="cgheraldi6g@opera.com"/>
    <x v="1"/>
    <x v="3"/>
    <s v="L"/>
    <x v="3"/>
    <n v="4.7549999999999999"/>
    <n v="19.02"/>
    <s v="Liberica"/>
    <x v="1"/>
    <x v="0"/>
  </r>
  <r>
    <s v="MGQ-98961-173"/>
    <x v="11"/>
    <s v="83895-90735-XH"/>
    <s v="L-L-0.5"/>
    <n v="4"/>
    <x v="110"/>
    <s v="tsutty6i@google.es"/>
    <x v="0"/>
    <x v="3"/>
    <s v="L"/>
    <x v="1"/>
    <n v="9.51"/>
    <n v="38.04"/>
    <s v="Liberica"/>
    <x v="1"/>
    <x v="1"/>
  </r>
  <r>
    <s v="RFH-64349-897"/>
    <x v="106"/>
    <s v="61954-61462-RJ"/>
    <s v="E-D-0.5"/>
    <n v="3"/>
    <x v="111"/>
    <s v="charce6k@cafepress.com"/>
    <x v="0"/>
    <x v="1"/>
    <s v="D"/>
    <x v="1"/>
    <n v="7.29"/>
    <n v="21.87"/>
    <s v="Excelsa"/>
    <x v="2"/>
    <x v="0"/>
  </r>
  <r>
    <s v="TKL-20738-660"/>
    <x v="107"/>
    <s v="47939-53158-LS"/>
    <s v="E-M-0.2"/>
    <n v="1"/>
    <x v="112"/>
    <s v="fdrysdale6m@symantec.com"/>
    <x v="0"/>
    <x v="1"/>
    <s v="M"/>
    <x v="3"/>
    <n v="4.125"/>
    <n v="4.125"/>
    <s v="Excelsa"/>
    <x v="0"/>
    <x v="1"/>
  </r>
  <r>
    <s v="TKL-20738-660"/>
    <x v="107"/>
    <s v="47939-53158-LS"/>
    <s v="A-L-0.2"/>
    <n v="1"/>
    <x v="112"/>
    <s v="dmagowan6n@fc2.com"/>
    <x v="0"/>
    <x v="2"/>
    <s v="L"/>
    <x v="3"/>
    <n v="3.8849999999999998"/>
    <n v="3.8849999999999998"/>
    <s v="Arabica"/>
    <x v="1"/>
    <x v="1"/>
  </r>
  <r>
    <s v="TKL-20738-660"/>
    <x v="107"/>
    <s v="47939-53158-LS"/>
    <s v="E-M-1"/>
    <n v="5"/>
    <x v="112"/>
    <s v=""/>
    <x v="0"/>
    <x v="1"/>
    <s v="M"/>
    <x v="0"/>
    <n v="13.75"/>
    <n v="68.75"/>
    <s v="Excelsa"/>
    <x v="0"/>
    <x v="1"/>
  </r>
  <r>
    <s v="GOW-03198-575"/>
    <x v="108"/>
    <s v="61513-27752-FA"/>
    <s v="A-D-0.5"/>
    <n v="4"/>
    <x v="113"/>
    <s v="eyurkov6s@hud.gov"/>
    <x v="0"/>
    <x v="2"/>
    <s v="D"/>
    <x v="1"/>
    <n v="5.97"/>
    <n v="23.88"/>
    <s v="Arabica"/>
    <x v="2"/>
    <x v="0"/>
  </r>
  <r>
    <s v="QJB-90477-635"/>
    <x v="109"/>
    <s v="89714-19856-WX"/>
    <s v="L-L-2.5"/>
    <n v="4"/>
    <x v="114"/>
    <s v="gbentjens6u@netlog.com"/>
    <x v="0"/>
    <x v="3"/>
    <s v="L"/>
    <x v="2"/>
    <n v="36.454999999999998"/>
    <n v="145.82"/>
    <s v="Liberica"/>
    <x v="1"/>
    <x v="1"/>
  </r>
  <r>
    <s v="MWP-46239-785"/>
    <x v="110"/>
    <s v="87979-56781-YV"/>
    <s v="L-M-0.2"/>
    <n v="5"/>
    <x v="115"/>
    <s v="lentwistle6w@omniture.com"/>
    <x v="0"/>
    <x v="3"/>
    <s v="M"/>
    <x v="3"/>
    <n v="4.3650000000000002"/>
    <n v="21.825000000000003"/>
    <s v="Liberica"/>
    <x v="0"/>
    <x v="0"/>
  </r>
  <r>
    <s v="QDV-03406-248"/>
    <x v="111"/>
    <s v="74126-88836-KA"/>
    <s v="L-M-0.5"/>
    <n v="3"/>
    <x v="116"/>
    <s v="macott6y@pagesperso-orange.fr"/>
    <x v="1"/>
    <x v="3"/>
    <s v="M"/>
    <x v="1"/>
    <n v="8.73"/>
    <n v="26.19"/>
    <s v="Liberica"/>
    <x v="0"/>
    <x v="0"/>
  </r>
  <r>
    <s v="GPH-40635-105"/>
    <x v="112"/>
    <s v="37397-05992-VO"/>
    <s v="A-M-1"/>
    <n v="1"/>
    <x v="117"/>
    <s v=""/>
    <x v="0"/>
    <x v="2"/>
    <s v="M"/>
    <x v="0"/>
    <n v="11.25"/>
    <n v="11.25"/>
    <s v="Arabica"/>
    <x v="0"/>
    <x v="1"/>
  </r>
  <r>
    <s v="JOM-80930-071"/>
    <x v="113"/>
    <s v="54904-18397-UD"/>
    <s v="L-D-1"/>
    <n v="6"/>
    <x v="118"/>
    <s v="rmclae72@dailymotion.com"/>
    <x v="1"/>
    <x v="3"/>
    <s v="D"/>
    <x v="0"/>
    <n v="12.95"/>
    <n v="77.699999999999989"/>
    <s v="Liberica"/>
    <x v="2"/>
    <x v="1"/>
  </r>
  <r>
    <s v="OIL-26493-755"/>
    <x v="114"/>
    <s v="19017-95853-EK"/>
    <s v="A-M-0.5"/>
    <n v="1"/>
    <x v="119"/>
    <s v="zkiffe74@cyberchimps.com"/>
    <x v="0"/>
    <x v="2"/>
    <s v="M"/>
    <x v="1"/>
    <n v="6.75"/>
    <n v="6.75"/>
    <s v="Arabica"/>
    <x v="0"/>
    <x v="1"/>
  </r>
  <r>
    <s v="CYV-13426-645"/>
    <x v="115"/>
    <s v="88593-59934-VU"/>
    <s v="E-D-1"/>
    <n v="1"/>
    <x v="120"/>
    <s v="ccromwell76@desdev.cn"/>
    <x v="0"/>
    <x v="1"/>
    <s v="D"/>
    <x v="0"/>
    <n v="12.15"/>
    <n v="12.15"/>
    <s v="Excelsa"/>
    <x v="2"/>
    <x v="0"/>
  </r>
  <r>
    <s v="WRP-39846-614"/>
    <x v="49"/>
    <s v="47493-68564-YM"/>
    <s v="A-L-2.5"/>
    <n v="5"/>
    <x v="121"/>
    <s v="ttaffarello78@sciencedaily.com"/>
    <x v="1"/>
    <x v="2"/>
    <s v="L"/>
    <x v="2"/>
    <n v="29.784999999999997"/>
    <n v="148.92499999999998"/>
    <s v="Arabica"/>
    <x v="1"/>
    <x v="0"/>
  </r>
  <r>
    <s v="VDZ-76673-968"/>
    <x v="116"/>
    <s v="82246-82543-DW"/>
    <s v="E-D-0.5"/>
    <n v="2"/>
    <x v="122"/>
    <s v="jkopke7a@auda.org.au"/>
    <x v="0"/>
    <x v="1"/>
    <s v="D"/>
    <x v="1"/>
    <n v="7.29"/>
    <n v="14.58"/>
    <s v="Excelsa"/>
    <x v="2"/>
    <x v="0"/>
  </r>
  <r>
    <s v="VTV-03546-175"/>
    <x v="117"/>
    <s v="03384-62101-IY"/>
    <s v="A-L-2.5"/>
    <n v="5"/>
    <x v="123"/>
    <s v=""/>
    <x v="0"/>
    <x v="2"/>
    <s v="L"/>
    <x v="2"/>
    <n v="29.784999999999997"/>
    <n v="148.92499999999998"/>
    <s v="Arabica"/>
    <x v="1"/>
    <x v="0"/>
  </r>
  <r>
    <s v="GHR-72274-715"/>
    <x v="118"/>
    <s v="86881-41559-OR"/>
    <s v="L-D-1"/>
    <n v="1"/>
    <x v="124"/>
    <s v="mseawright7e@nbcnews.com"/>
    <x v="0"/>
    <x v="3"/>
    <s v="D"/>
    <x v="0"/>
    <n v="12.95"/>
    <n v="12.95"/>
    <s v="Liberica"/>
    <x v="2"/>
    <x v="1"/>
  </r>
  <r>
    <s v="ZGK-97262-313"/>
    <x v="119"/>
    <s v="02536-18494-AQ"/>
    <s v="E-M-2.5"/>
    <n v="3"/>
    <x v="125"/>
    <s v=""/>
    <x v="0"/>
    <x v="1"/>
    <s v="M"/>
    <x v="2"/>
    <n v="31.624999999999996"/>
    <n v="94.874999999999986"/>
    <s v="Excelsa"/>
    <x v="0"/>
    <x v="0"/>
  </r>
  <r>
    <s v="ZFS-30776-804"/>
    <x v="120"/>
    <s v="58638-01029-CB"/>
    <s v="A-L-0.5"/>
    <n v="5"/>
    <x v="126"/>
    <s v="lrushmer65@europa.eu"/>
    <x v="0"/>
    <x v="2"/>
    <s v="L"/>
    <x v="1"/>
    <n v="7.77"/>
    <n v="38.849999999999994"/>
    <s v="Arabica"/>
    <x v="1"/>
    <x v="0"/>
  </r>
  <r>
    <s v="QUU-91729-492"/>
    <x v="121"/>
    <s v="90312-11148-LA"/>
    <s v="A-D-0.2"/>
    <n v="4"/>
    <x v="127"/>
    <s v="zcarlson7k@bigcartel.com"/>
    <x v="0"/>
    <x v="2"/>
    <s v="D"/>
    <x v="3"/>
    <n v="2.9849999999999999"/>
    <n v="11.94"/>
    <s v="Arabica"/>
    <x v="2"/>
    <x v="1"/>
  </r>
  <r>
    <s v="PVI-72795-960"/>
    <x v="122"/>
    <s v="68239-74809-TF"/>
    <s v="E-L-2.5"/>
    <n v="3"/>
    <x v="128"/>
    <s v="dhedlestone7m@craigslist.org"/>
    <x v="1"/>
    <x v="1"/>
    <s v="L"/>
    <x v="2"/>
    <n v="34.154999999999994"/>
    <n v="102.46499999999997"/>
    <s v="Excelsa"/>
    <x v="1"/>
    <x v="1"/>
  </r>
  <r>
    <s v="PPP-78935-365"/>
    <x v="123"/>
    <s v="91074-60023-IP"/>
    <s v="E-D-1"/>
    <n v="4"/>
    <x v="129"/>
    <s v="dbury7o@tinyurl.com"/>
    <x v="0"/>
    <x v="1"/>
    <s v="D"/>
    <x v="0"/>
    <n v="12.15"/>
    <n v="48.6"/>
    <s v="Excelsa"/>
    <x v="2"/>
    <x v="1"/>
  </r>
  <r>
    <s v="JUO-34131-517"/>
    <x v="124"/>
    <s v="07972-83748-JI"/>
    <s v="L-D-1"/>
    <n v="6"/>
    <x v="130"/>
    <s v="epalfrey7q@devhub.com"/>
    <x v="0"/>
    <x v="3"/>
    <s v="D"/>
    <x v="0"/>
    <n v="12.95"/>
    <n v="77.699999999999989"/>
    <s v="Liberica"/>
    <x v="2"/>
    <x v="0"/>
  </r>
  <r>
    <s v="ZJE-89333-489"/>
    <x v="125"/>
    <s v="08694-57330-XR"/>
    <s v="L-D-2.5"/>
    <n v="1"/>
    <x v="131"/>
    <s v=""/>
    <x v="1"/>
    <x v="3"/>
    <s v="D"/>
    <x v="2"/>
    <n v="29.784999999999997"/>
    <n v="29.784999999999997"/>
    <s v="Liberica"/>
    <x v="2"/>
    <x v="0"/>
  </r>
  <r>
    <s v="LOO-35324-159"/>
    <x v="126"/>
    <s v="68412-11126-YJ"/>
    <s v="A-L-0.2"/>
    <n v="4"/>
    <x v="132"/>
    <s v="fcrumpe7u@ftc.gov"/>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bmergue7y@umn.edu"/>
    <x v="0"/>
    <x v="3"/>
    <s v="M"/>
    <x v="1"/>
    <n v="8.73"/>
    <n v="17.46"/>
    <s v="Liberica"/>
    <x v="0"/>
    <x v="1"/>
  </r>
  <r>
    <s v="WXG-25759-236"/>
    <x v="103"/>
    <s v="39919-06540-ZI"/>
    <s v="E-L-2.5"/>
    <n v="2"/>
    <x v="135"/>
    <s v=""/>
    <x v="0"/>
    <x v="1"/>
    <s v="L"/>
    <x v="2"/>
    <n v="34.154999999999994"/>
    <n v="68.309999999999988"/>
    <s v="Excelsa"/>
    <x v="1"/>
    <x v="0"/>
  </r>
  <r>
    <s v="QNA-31113-984"/>
    <x v="129"/>
    <s v="60512-78550-WS"/>
    <s v="L-M-0.2"/>
    <n v="4"/>
    <x v="136"/>
    <s v="dduke82@vkontakte.ru"/>
    <x v="0"/>
    <x v="3"/>
    <s v="M"/>
    <x v="3"/>
    <n v="4.3650000000000002"/>
    <n v="17.46"/>
    <s v="Liberica"/>
    <x v="0"/>
    <x v="1"/>
  </r>
  <r>
    <s v="ZWI-52029-159"/>
    <x v="130"/>
    <s v="40172-12000-AU"/>
    <s v="L-M-1"/>
    <n v="3"/>
    <x v="137"/>
    <s v="ihussey84@mapy.cz"/>
    <x v="0"/>
    <x v="3"/>
    <s v="M"/>
    <x v="0"/>
    <n v="14.55"/>
    <n v="43.650000000000006"/>
    <s v="Liberica"/>
    <x v="0"/>
    <x v="1"/>
  </r>
  <r>
    <s v="ZWI-52029-159"/>
    <x v="130"/>
    <s v="40172-12000-AU"/>
    <s v="E-M-1"/>
    <n v="2"/>
    <x v="137"/>
    <s v="cpinkerton85@upenn.edu"/>
    <x v="0"/>
    <x v="1"/>
    <s v="M"/>
    <x v="0"/>
    <n v="13.75"/>
    <n v="27.5"/>
    <s v="Excelsa"/>
    <x v="0"/>
    <x v="1"/>
  </r>
  <r>
    <s v="DFS-49954-707"/>
    <x v="131"/>
    <s v="39019-13649-CL"/>
    <s v="E-D-0.2"/>
    <n v="5"/>
    <x v="138"/>
    <s v="dvizor88@furl.net"/>
    <x v="0"/>
    <x v="1"/>
    <s v="D"/>
    <x v="3"/>
    <n v="3.645"/>
    <n v="18.225000000000001"/>
    <s v="Excelsa"/>
    <x v="2"/>
    <x v="0"/>
  </r>
  <r>
    <s v="VYP-89830-878"/>
    <x v="132"/>
    <s v="12715-05198-QU"/>
    <s v="A-M-2.5"/>
    <n v="2"/>
    <x v="139"/>
    <s v="klestrange8a@lulu.com"/>
    <x v="0"/>
    <x v="2"/>
    <s v="M"/>
    <x v="2"/>
    <n v="25.874999999999996"/>
    <n v="51.749999999999993"/>
    <s v="Arabica"/>
    <x v="0"/>
    <x v="0"/>
  </r>
  <r>
    <s v="AMT-40418-362"/>
    <x v="133"/>
    <s v="04513-76520-QO"/>
    <s v="L-D-1"/>
    <n v="1"/>
    <x v="140"/>
    <s v="ade8c@1und1.de"/>
    <x v="0"/>
    <x v="3"/>
    <s v="D"/>
    <x v="0"/>
    <n v="12.95"/>
    <n v="12.95"/>
    <s v="Liberica"/>
    <x v="2"/>
    <x v="0"/>
  </r>
  <r>
    <s v="NFQ-23241-793"/>
    <x v="134"/>
    <s v="88446-59251-SQ"/>
    <s v="A-M-1"/>
    <n v="3"/>
    <x v="141"/>
    <s v="pstonner8e@moonfruit.com"/>
    <x v="0"/>
    <x v="2"/>
    <s v="M"/>
    <x v="0"/>
    <n v="11.25"/>
    <n v="33.75"/>
    <s v="Arabica"/>
    <x v="0"/>
    <x v="0"/>
  </r>
  <r>
    <s v="JQK-64922-985"/>
    <x v="113"/>
    <s v="23779-10274-KN"/>
    <s v="R-M-2.5"/>
    <n v="3"/>
    <x v="142"/>
    <s v="rwhife8g@360.cn"/>
    <x v="0"/>
    <x v="0"/>
    <s v="M"/>
    <x v="2"/>
    <n v="22.884999999999998"/>
    <n v="68.655000000000001"/>
    <s v="Robusta"/>
    <x v="0"/>
    <x v="0"/>
  </r>
  <r>
    <s v="YET-17732-678"/>
    <x v="135"/>
    <s v="57235-92842-DK"/>
    <s v="R-D-0.2"/>
    <n v="1"/>
    <x v="143"/>
    <s v="jbagot8i@mac.com"/>
    <x v="0"/>
    <x v="0"/>
    <s v="D"/>
    <x v="3"/>
    <n v="2.6849999999999996"/>
    <n v="2.6849999999999996"/>
    <s v="Robusta"/>
    <x v="2"/>
    <x v="1"/>
  </r>
  <r>
    <s v="NKW-24945-846"/>
    <x v="35"/>
    <s v="75977-30364-AY"/>
    <s v="A-D-2.5"/>
    <n v="5"/>
    <x v="144"/>
    <s v="cfluin8k@flickr.com"/>
    <x v="0"/>
    <x v="2"/>
    <s v="D"/>
    <x v="2"/>
    <n v="22.884999999999998"/>
    <n v="114.42499999999998"/>
    <s v="Arabica"/>
    <x v="2"/>
    <x v="1"/>
  </r>
  <r>
    <s v="VKA-82720-513"/>
    <x v="136"/>
    <s v="12299-30914-NG"/>
    <s v="A-M-2.5"/>
    <n v="6"/>
    <x v="145"/>
    <s v="pbrydell8m@bloglovin.com"/>
    <x v="0"/>
    <x v="2"/>
    <s v="M"/>
    <x v="2"/>
    <n v="25.874999999999996"/>
    <n v="155.24999999999997"/>
    <s v="Arabica"/>
    <x v="0"/>
    <x v="0"/>
  </r>
  <r>
    <s v="THA-60599-417"/>
    <x v="137"/>
    <s v="59971-35626-YJ"/>
    <s v="A-M-2.5"/>
    <n v="3"/>
    <x v="146"/>
    <s v="nleethem8o@mac.com"/>
    <x v="0"/>
    <x v="2"/>
    <s v="M"/>
    <x v="2"/>
    <n v="25.874999999999996"/>
    <n v="77.624999999999986"/>
    <s v="Arabica"/>
    <x v="0"/>
    <x v="0"/>
  </r>
  <r>
    <s v="MEK-39769-035"/>
    <x v="138"/>
    <s v="15380-76513-PS"/>
    <s v="R-D-2.5"/>
    <n v="3"/>
    <x v="147"/>
    <s v=""/>
    <x v="1"/>
    <x v="0"/>
    <s v="D"/>
    <x v="2"/>
    <n v="20.584999999999997"/>
    <n v="61.754999999999995"/>
    <s v="Robusta"/>
    <x v="2"/>
    <x v="1"/>
  </r>
  <r>
    <s v="JAF-18294-750"/>
    <x v="139"/>
    <s v="73564-98204-EY"/>
    <s v="R-D-2.5"/>
    <n v="6"/>
    <x v="148"/>
    <s v="nlush8s@dedecms.com"/>
    <x v="0"/>
    <x v="0"/>
    <s v="D"/>
    <x v="2"/>
    <n v="20.584999999999997"/>
    <n v="123.50999999999999"/>
    <s v="Robusta"/>
    <x v="2"/>
    <x v="0"/>
  </r>
  <r>
    <s v="TME-59627-221"/>
    <x v="140"/>
    <s v="72282-40594-RX"/>
    <s v="L-L-2.5"/>
    <n v="6"/>
    <x v="149"/>
    <s v="tbennison8u@google.cn"/>
    <x v="0"/>
    <x v="3"/>
    <s v="L"/>
    <x v="2"/>
    <n v="36.454999999999998"/>
    <n v="218.73"/>
    <s v="Liberica"/>
    <x v="1"/>
    <x v="1"/>
  </r>
  <r>
    <s v="UDG-65353-824"/>
    <x v="141"/>
    <s v="17514-94165-RJ"/>
    <s v="E-M-0.5"/>
    <n v="4"/>
    <x v="150"/>
    <s v="fcusick8w@hatena.ne.jp"/>
    <x v="0"/>
    <x v="1"/>
    <s v="M"/>
    <x v="1"/>
    <n v="8.25"/>
    <n v="33"/>
    <s v="Excelsa"/>
    <x v="0"/>
    <x v="1"/>
  </r>
  <r>
    <s v="ENQ-42923-176"/>
    <x v="142"/>
    <s v="56248-75861-JX"/>
    <s v="A-L-0.5"/>
    <n v="3"/>
    <x v="151"/>
    <s v="sjeyness8y@biglobe.ne.jp"/>
    <x v="0"/>
    <x v="2"/>
    <s v="L"/>
    <x v="1"/>
    <n v="7.77"/>
    <n v="23.31"/>
    <s v="Arabica"/>
    <x v="1"/>
    <x v="1"/>
  </r>
  <r>
    <s v="CBT-55781-720"/>
    <x v="143"/>
    <s v="97855-54761-IS"/>
    <s v="E-D-0.5"/>
    <n v="3"/>
    <x v="152"/>
    <s v=""/>
    <x v="0"/>
    <x v="1"/>
    <s v="D"/>
    <x v="1"/>
    <n v="7.29"/>
    <n v="21.87"/>
    <s v="Excelsa"/>
    <x v="2"/>
    <x v="0"/>
  </r>
  <r>
    <s v="NEU-86533-016"/>
    <x v="144"/>
    <s v="96544-91644-IT"/>
    <s v="R-D-0.2"/>
    <n v="6"/>
    <x v="153"/>
    <s v=""/>
    <x v="0"/>
    <x v="0"/>
    <s v="D"/>
    <x v="3"/>
    <n v="2.6849999999999996"/>
    <n v="16.11"/>
    <s v="Robusta"/>
    <x v="2"/>
    <x v="1"/>
  </r>
  <r>
    <s v="BYU-58154-603"/>
    <x v="145"/>
    <s v="51971-70393-QM"/>
    <s v="E-D-0.5"/>
    <n v="4"/>
    <x v="154"/>
    <s v=""/>
    <x v="1"/>
    <x v="1"/>
    <s v="D"/>
    <x v="1"/>
    <n v="7.29"/>
    <n v="29.16"/>
    <s v="Excelsa"/>
    <x v="2"/>
    <x v="1"/>
  </r>
  <r>
    <s v="EHJ-05910-257"/>
    <x v="146"/>
    <s v="06812-11924-IK"/>
    <s v="R-D-1"/>
    <n v="6"/>
    <x v="155"/>
    <s v="fdrogan96@gnu.org"/>
    <x v="0"/>
    <x v="0"/>
    <s v="D"/>
    <x v="0"/>
    <n v="8.9499999999999993"/>
    <n v="53.699999999999996"/>
    <s v="Robusta"/>
    <x v="2"/>
    <x v="0"/>
  </r>
  <r>
    <s v="EIL-44855-309"/>
    <x v="147"/>
    <s v="59741-90220-OW"/>
    <s v="R-D-0.5"/>
    <n v="5"/>
    <x v="156"/>
    <s v="qparsons98@blogtalkradio.com"/>
    <x v="0"/>
    <x v="0"/>
    <s v="D"/>
    <x v="1"/>
    <n v="5.3699999999999992"/>
    <n v="26.849999999999994"/>
    <s v="Robusta"/>
    <x v="2"/>
    <x v="0"/>
  </r>
  <r>
    <s v="HCA-87224-420"/>
    <x v="148"/>
    <s v="62682-27930-PD"/>
    <s v="E-M-0.5"/>
    <n v="5"/>
    <x v="157"/>
    <s v=""/>
    <x v="0"/>
    <x v="1"/>
    <s v="M"/>
    <x v="1"/>
    <n v="8.25"/>
    <n v="41.25"/>
    <s v="Excelsa"/>
    <x v="0"/>
    <x v="0"/>
  </r>
  <r>
    <s v="ABO-29054-365"/>
    <x v="149"/>
    <s v="00256-19905-YG"/>
    <s v="A-M-0.5"/>
    <n v="6"/>
    <x v="158"/>
    <s v="tomoylan9c@liveinternet.ru"/>
    <x v="1"/>
    <x v="2"/>
    <s v="M"/>
    <x v="1"/>
    <n v="6.75"/>
    <n v="40.5"/>
    <s v="Arabica"/>
    <x v="0"/>
    <x v="1"/>
  </r>
  <r>
    <s v="TKN-58485-031"/>
    <x v="150"/>
    <s v="38890-22576-UI"/>
    <s v="R-D-1"/>
    <n v="2"/>
    <x v="159"/>
    <s v="wfetherston9e@constantcontact.com"/>
    <x v="1"/>
    <x v="0"/>
    <s v="D"/>
    <x v="0"/>
    <n v="8.9499999999999993"/>
    <n v="17.899999999999999"/>
    <s v="Robusta"/>
    <x v="2"/>
    <x v="1"/>
  </r>
  <r>
    <s v="RCK-04069-371"/>
    <x v="151"/>
    <s v="94573-61802-PH"/>
    <s v="E-L-2.5"/>
    <n v="2"/>
    <x v="160"/>
    <s v="wgiorgioni9g@wikipedia.org"/>
    <x v="2"/>
    <x v="1"/>
    <s v="L"/>
    <x v="2"/>
    <n v="34.154999999999994"/>
    <n v="68.309999999999988"/>
    <s v="Excelsa"/>
    <x v="1"/>
    <x v="1"/>
  </r>
  <r>
    <s v="IRJ-67095-738"/>
    <x v="13"/>
    <s v="86447-02699-UT"/>
    <s v="E-M-2.5"/>
    <n v="2"/>
    <x v="161"/>
    <s v="cfranseco9i@phoca.cz"/>
    <x v="0"/>
    <x v="1"/>
    <s v="M"/>
    <x v="2"/>
    <n v="31.624999999999996"/>
    <n v="63.249999999999993"/>
    <s v="Excelsa"/>
    <x v="0"/>
    <x v="0"/>
  </r>
  <r>
    <s v="VEA-31961-977"/>
    <x v="79"/>
    <s v="51432-27169-KN"/>
    <s v="E-D-0.5"/>
    <n v="3"/>
    <x v="162"/>
    <s v=""/>
    <x v="1"/>
    <x v="1"/>
    <s v="D"/>
    <x v="1"/>
    <n v="7.29"/>
    <n v="21.87"/>
    <s v="Excelsa"/>
    <x v="2"/>
    <x v="1"/>
  </r>
  <r>
    <s v="BAF-42286-205"/>
    <x v="152"/>
    <s v="43074-00987-PB"/>
    <s v="R-M-2.5"/>
    <n v="4"/>
    <x v="163"/>
    <s v="rworg9m@arstechnica.com"/>
    <x v="0"/>
    <x v="0"/>
    <s v="M"/>
    <x v="2"/>
    <n v="22.884999999999998"/>
    <n v="91.539999999999992"/>
    <s v="Robusta"/>
    <x v="0"/>
    <x v="1"/>
  </r>
  <r>
    <s v="WOR-52762-511"/>
    <x v="153"/>
    <s v="04739-85772-QT"/>
    <s v="E-L-2.5"/>
    <n v="6"/>
    <x v="164"/>
    <s v="skeynd9o@narod.ru"/>
    <x v="0"/>
    <x v="1"/>
    <s v="L"/>
    <x v="2"/>
    <n v="34.154999999999994"/>
    <n v="204.92999999999995"/>
    <s v="Excelsa"/>
    <x v="1"/>
    <x v="0"/>
  </r>
  <r>
    <s v="ZWK-03995-815"/>
    <x v="154"/>
    <s v="28279-78469-YW"/>
    <s v="E-M-2.5"/>
    <n v="2"/>
    <x v="165"/>
    <s v="jawdry9q@utexas.edu"/>
    <x v="0"/>
    <x v="1"/>
    <s v="M"/>
    <x v="2"/>
    <n v="31.624999999999996"/>
    <n v="63.249999999999993"/>
    <s v="Excelsa"/>
    <x v="0"/>
    <x v="0"/>
  </r>
  <r>
    <s v="CKF-43291-846"/>
    <x v="155"/>
    <s v="91829-99544-DS"/>
    <s v="E-L-2.5"/>
    <n v="1"/>
    <x v="166"/>
    <s v="sbaulcombe9s@dropbox.com"/>
    <x v="0"/>
    <x v="1"/>
    <s v="L"/>
    <x v="2"/>
    <n v="34.154999999999994"/>
    <n v="34.154999999999994"/>
    <s v="Excelsa"/>
    <x v="1"/>
    <x v="0"/>
  </r>
  <r>
    <s v="RMW-74160-339"/>
    <x v="156"/>
    <s v="38978-59582-JP"/>
    <s v="R-L-2.5"/>
    <n v="4"/>
    <x v="167"/>
    <s v="jcaldicott9u@usda.gov"/>
    <x v="0"/>
    <x v="0"/>
    <s v="L"/>
    <x v="2"/>
    <n v="27.484999999999996"/>
    <n v="109.93999999999998"/>
    <s v="Robusta"/>
    <x v="1"/>
    <x v="0"/>
  </r>
  <r>
    <s v="FMT-94584-786"/>
    <x v="22"/>
    <s v="86504-96610-BH"/>
    <s v="A-L-1"/>
    <n v="2"/>
    <x v="168"/>
    <s v="wromao9w@chronoengine.com"/>
    <x v="0"/>
    <x v="2"/>
    <s v="L"/>
    <x v="0"/>
    <n v="12.95"/>
    <n v="25.9"/>
    <s v="Arabica"/>
    <x v="1"/>
    <x v="1"/>
  </r>
  <r>
    <s v="NWT-78222-575"/>
    <x v="157"/>
    <s v="75986-98864-EZ"/>
    <s v="A-D-0.2"/>
    <n v="1"/>
    <x v="169"/>
    <s v="tcotmore9y@amazonaws.com"/>
    <x v="1"/>
    <x v="2"/>
    <s v="D"/>
    <x v="3"/>
    <n v="2.9849999999999999"/>
    <n v="2.9849999999999999"/>
    <s v="Arabica"/>
    <x v="2"/>
    <x v="1"/>
  </r>
  <r>
    <s v="EOI-02511-919"/>
    <x v="158"/>
    <s v="66776-88682-RG"/>
    <s v="E-L-0.2"/>
    <n v="5"/>
    <x v="170"/>
    <s v="ncorpsa0@gmpg.org"/>
    <x v="0"/>
    <x v="1"/>
    <s v="L"/>
    <x v="3"/>
    <n v="4.4550000000000001"/>
    <n v="22.274999999999999"/>
    <s v="Excelsa"/>
    <x v="1"/>
    <x v="1"/>
  </r>
  <r>
    <s v="EOI-02511-919"/>
    <x v="158"/>
    <s v="66776-88682-RG"/>
    <s v="A-D-0.5"/>
    <n v="5"/>
    <x v="170"/>
    <s v="cruburya1@geocities.jp"/>
    <x v="0"/>
    <x v="2"/>
    <s v="D"/>
    <x v="1"/>
    <n v="5.97"/>
    <n v="29.849999999999998"/>
    <s v="Arabica"/>
    <x v="2"/>
    <x v="1"/>
  </r>
  <r>
    <s v="UCT-03935-589"/>
    <x v="78"/>
    <s v="85851-78384-DM"/>
    <s v="R-D-0.5"/>
    <n v="6"/>
    <x v="171"/>
    <s v="ptoffula4@posterous.com"/>
    <x v="0"/>
    <x v="0"/>
    <s v="D"/>
    <x v="1"/>
    <n v="5.3699999999999992"/>
    <n v="32.22"/>
    <s v="Robusta"/>
    <x v="2"/>
    <x v="1"/>
  </r>
  <r>
    <s v="SBI-60013-494"/>
    <x v="159"/>
    <s v="55232-81621-BX"/>
    <s v="E-M-0.2"/>
    <n v="2"/>
    <x v="172"/>
    <s v=""/>
    <x v="0"/>
    <x v="1"/>
    <s v="M"/>
    <x v="3"/>
    <n v="4.125"/>
    <n v="8.25"/>
    <s v="Excelsa"/>
    <x v="0"/>
    <x v="1"/>
  </r>
  <r>
    <s v="QRA-73277-814"/>
    <x v="160"/>
    <s v="80310-92912-JA"/>
    <s v="A-L-0.5"/>
    <n v="4"/>
    <x v="173"/>
    <s v="lflaoniera8@wordpress.org"/>
    <x v="0"/>
    <x v="2"/>
    <s v="L"/>
    <x v="1"/>
    <n v="7.77"/>
    <n v="31.08"/>
    <s v="Arabica"/>
    <x v="1"/>
    <x v="1"/>
  </r>
  <r>
    <s v="EQE-31648-909"/>
    <x v="161"/>
    <s v="19821-05175-WZ"/>
    <s v="E-D-0.5"/>
    <n v="5"/>
    <x v="174"/>
    <s v="ccatchesideaa@macromedia.com"/>
    <x v="0"/>
    <x v="1"/>
    <s v="D"/>
    <x v="1"/>
    <n v="7.29"/>
    <n v="36.450000000000003"/>
    <s v="Excelsa"/>
    <x v="2"/>
    <x v="0"/>
  </r>
  <r>
    <s v="QOO-24615-950"/>
    <x v="162"/>
    <s v="01338-83217-GV"/>
    <s v="R-M-2.5"/>
    <n v="3"/>
    <x v="175"/>
    <s v="tfarraac@behance.net"/>
    <x v="0"/>
    <x v="0"/>
    <s v="M"/>
    <x v="2"/>
    <n v="22.884999999999998"/>
    <n v="68.655000000000001"/>
    <s v="Robusta"/>
    <x v="0"/>
    <x v="1"/>
  </r>
  <r>
    <s v="WDV-73864-037"/>
    <x v="70"/>
    <s v="66044-25298-TA"/>
    <s v="L-M-0.5"/>
    <n v="5"/>
    <x v="176"/>
    <s v="gbamfieldae@yellowpages.com"/>
    <x v="0"/>
    <x v="3"/>
    <s v="M"/>
    <x v="1"/>
    <n v="8.73"/>
    <n v="43.650000000000006"/>
    <s v="Liberica"/>
    <x v="0"/>
    <x v="0"/>
  </r>
  <r>
    <s v="PKR-88575-066"/>
    <x v="163"/>
    <s v="28728-47861-TZ"/>
    <s v="E-L-0.2"/>
    <n v="1"/>
    <x v="177"/>
    <s v="jdeag@xrea.com"/>
    <x v="0"/>
    <x v="1"/>
    <s v="L"/>
    <x v="3"/>
    <n v="4.4550000000000001"/>
    <n v="4.4550000000000001"/>
    <s v="Excelsa"/>
    <x v="1"/>
    <x v="0"/>
  </r>
  <r>
    <s v="BWR-85735-955"/>
    <x v="153"/>
    <s v="32638-38620-AX"/>
    <s v="L-M-1"/>
    <n v="3"/>
    <x v="178"/>
    <s v="jrudeforthai@wunderground.com"/>
    <x v="0"/>
    <x v="3"/>
    <s v="M"/>
    <x v="0"/>
    <n v="14.55"/>
    <n v="43.650000000000006"/>
    <s v="Liberica"/>
    <x v="0"/>
    <x v="0"/>
  </r>
  <r>
    <s v="YFX-64795-136"/>
    <x v="164"/>
    <s v="83163-65741-IH"/>
    <s v="L-M-2.5"/>
    <n v="1"/>
    <x v="179"/>
    <s v="fmartiak@stumbleupon.com"/>
    <x v="0"/>
    <x v="3"/>
    <s v="M"/>
    <x v="2"/>
    <n v="33.464999999999996"/>
    <n v="33.464999999999996"/>
    <s v="Liberica"/>
    <x v="0"/>
    <x v="0"/>
  </r>
  <r>
    <s v="DDO-71442-967"/>
    <x v="165"/>
    <s v="89422-58281-FD"/>
    <s v="L-D-0.2"/>
    <n v="5"/>
    <x v="180"/>
    <s v="ewindressam@marketwatch.com"/>
    <x v="0"/>
    <x v="3"/>
    <s v="D"/>
    <x v="3"/>
    <n v="3.8849999999999998"/>
    <n v="19.424999999999997"/>
    <s v="Liberica"/>
    <x v="2"/>
    <x v="0"/>
  </r>
  <r>
    <s v="ILQ-11027-588"/>
    <x v="166"/>
    <s v="76293-30918-DQ"/>
    <s v="E-D-1"/>
    <n v="6"/>
    <x v="181"/>
    <s v=""/>
    <x v="1"/>
    <x v="1"/>
    <s v="D"/>
    <x v="0"/>
    <n v="12.15"/>
    <n v="72.900000000000006"/>
    <s v="Excelsa"/>
    <x v="2"/>
    <x v="0"/>
  </r>
  <r>
    <s v="KRZ-13868-122"/>
    <x v="167"/>
    <s v="86779-84838-EJ"/>
    <s v="E-L-1"/>
    <n v="3"/>
    <x v="182"/>
    <s v=""/>
    <x v="0"/>
    <x v="1"/>
    <s v="L"/>
    <x v="0"/>
    <n v="14.85"/>
    <n v="44.55"/>
    <s v="Excelsa"/>
    <x v="1"/>
    <x v="1"/>
  </r>
  <r>
    <s v="VRM-93594-914"/>
    <x v="168"/>
    <s v="66806-41795-MX"/>
    <s v="E-D-0.5"/>
    <n v="5"/>
    <x v="183"/>
    <s v="msarvaras@artisteer.com"/>
    <x v="0"/>
    <x v="1"/>
    <s v="D"/>
    <x v="1"/>
    <n v="7.29"/>
    <n v="36.450000000000003"/>
    <s v="Excelsa"/>
    <x v="2"/>
    <x v="1"/>
  </r>
  <r>
    <s v="HXL-22497-359"/>
    <x v="169"/>
    <s v="64875-71224-UI"/>
    <s v="A-L-1"/>
    <n v="3"/>
    <x v="184"/>
    <s v="sdivinyau@ask.com"/>
    <x v="0"/>
    <x v="2"/>
    <s v="L"/>
    <x v="0"/>
    <n v="12.95"/>
    <n v="38.849999999999994"/>
    <s v="Arabica"/>
    <x v="1"/>
    <x v="1"/>
  </r>
  <r>
    <s v="NOP-21394-646"/>
    <x v="170"/>
    <s v="16982-35708-BZ"/>
    <s v="E-L-0.5"/>
    <n v="6"/>
    <x v="185"/>
    <s v="aiddisonaw@usa.gov"/>
    <x v="0"/>
    <x v="1"/>
    <s v="L"/>
    <x v="1"/>
    <n v="8.91"/>
    <n v="53.46"/>
    <s v="Excelsa"/>
    <x v="1"/>
    <x v="1"/>
  </r>
  <r>
    <s v="NOP-21394-646"/>
    <x v="170"/>
    <s v="16982-35708-BZ"/>
    <s v="L-D-2.5"/>
    <n v="2"/>
    <x v="185"/>
    <s v="dsprossonax@wunderground.com"/>
    <x v="0"/>
    <x v="3"/>
    <s v="D"/>
    <x v="2"/>
    <n v="29.784999999999997"/>
    <n v="59.569999999999993"/>
    <s v="Liberica"/>
    <x v="2"/>
    <x v="1"/>
  </r>
  <r>
    <s v="NOP-21394-646"/>
    <x v="170"/>
    <s v="16982-35708-BZ"/>
    <s v="L-D-2.5"/>
    <n v="3"/>
    <x v="185"/>
    <s v="rlongfielday@bluehost.com"/>
    <x v="0"/>
    <x v="3"/>
    <s v="D"/>
    <x v="2"/>
    <n v="29.784999999999997"/>
    <n v="89.35499999999999"/>
    <s v="Liberica"/>
    <x v="2"/>
    <x v="1"/>
  </r>
  <r>
    <s v="NOP-21394-646"/>
    <x v="170"/>
    <s v="16982-35708-BZ"/>
    <s v="L-L-0.5"/>
    <n v="4"/>
    <x v="185"/>
    <s v="gkislingburyaz@samsung.com"/>
    <x v="0"/>
    <x v="3"/>
    <s v="L"/>
    <x v="1"/>
    <n v="9.51"/>
    <n v="38.04"/>
    <s v="Liberica"/>
    <x v="1"/>
    <x v="1"/>
  </r>
  <r>
    <s v="NOP-21394-646"/>
    <x v="170"/>
    <s v="16982-35708-BZ"/>
    <s v="E-M-1"/>
    <n v="3"/>
    <x v="185"/>
    <s v="xgibbonsb0@artisteer.com"/>
    <x v="0"/>
    <x v="1"/>
    <s v="M"/>
    <x v="0"/>
    <n v="13.75"/>
    <n v="41.25"/>
    <s v="Excelsa"/>
    <x v="0"/>
    <x v="1"/>
  </r>
  <r>
    <s v="FTV-77095-168"/>
    <x v="171"/>
    <s v="66708-26678-QK"/>
    <s v="L-L-0.5"/>
    <n v="6"/>
    <x v="186"/>
    <s v="gcroysdaleb6@nih.gov"/>
    <x v="0"/>
    <x v="3"/>
    <s v="L"/>
    <x v="1"/>
    <n v="9.51"/>
    <n v="57.06"/>
    <s v="Liberica"/>
    <x v="1"/>
    <x v="1"/>
  </r>
  <r>
    <s v="BOR-02906-411"/>
    <x v="172"/>
    <s v="08743-09057-OO"/>
    <s v="L-D-2.5"/>
    <n v="6"/>
    <x v="187"/>
    <s v="tcraggsb8@house.gov"/>
    <x v="0"/>
    <x v="3"/>
    <s v="D"/>
    <x v="2"/>
    <n v="29.784999999999997"/>
    <n v="178.70999999999998"/>
    <s v="Liberica"/>
    <x v="2"/>
    <x v="0"/>
  </r>
  <r>
    <s v="WMP-68847-770"/>
    <x v="173"/>
    <s v="37490-01572-JW"/>
    <s v="L-L-0.2"/>
    <n v="1"/>
    <x v="188"/>
    <s v="arizonba@xing.com"/>
    <x v="0"/>
    <x v="3"/>
    <s v="L"/>
    <x v="3"/>
    <n v="4.7549999999999999"/>
    <n v="4.7549999999999999"/>
    <s v="Liberica"/>
    <x v="1"/>
    <x v="1"/>
  </r>
  <r>
    <s v="TMO-22785-872"/>
    <x v="174"/>
    <s v="01811-60350-CU"/>
    <s v="E-M-1"/>
    <n v="6"/>
    <x v="189"/>
    <s v="fmiellbc@spiegel.de"/>
    <x v="0"/>
    <x v="1"/>
    <s v="M"/>
    <x v="0"/>
    <n v="13.75"/>
    <n v="82.5"/>
    <s v="Excelsa"/>
    <x v="0"/>
    <x v="1"/>
  </r>
  <r>
    <s v="TJG-73587-353"/>
    <x v="175"/>
    <s v="24766-58139-GT"/>
    <s v="R-D-0.2"/>
    <n v="3"/>
    <x v="190"/>
    <s v=""/>
    <x v="0"/>
    <x v="0"/>
    <s v="D"/>
    <x v="3"/>
    <n v="2.6849999999999996"/>
    <n v="8.0549999999999997"/>
    <s v="Robusta"/>
    <x v="2"/>
    <x v="0"/>
  </r>
  <r>
    <s v="OOU-61343-455"/>
    <x v="176"/>
    <s v="90123-70970-NY"/>
    <s v="A-M-1"/>
    <n v="2"/>
    <x v="191"/>
    <s v=""/>
    <x v="0"/>
    <x v="2"/>
    <s v="M"/>
    <x v="0"/>
    <n v="11.25"/>
    <n v="22.5"/>
    <s v="Arabica"/>
    <x v="0"/>
    <x v="1"/>
  </r>
  <r>
    <s v="RMA-08327-369"/>
    <x v="142"/>
    <s v="93809-05424-MG"/>
    <s v="A-M-0.5"/>
    <n v="6"/>
    <x v="192"/>
    <s v=""/>
    <x v="0"/>
    <x v="2"/>
    <s v="M"/>
    <x v="1"/>
    <n v="6.75"/>
    <n v="40.5"/>
    <s v="Arabica"/>
    <x v="0"/>
    <x v="0"/>
  </r>
  <r>
    <s v="SFB-97929-779"/>
    <x v="177"/>
    <s v="85425-33494-HQ"/>
    <s v="E-D-0.5"/>
    <n v="4"/>
    <x v="193"/>
    <s v=""/>
    <x v="1"/>
    <x v="1"/>
    <s v="D"/>
    <x v="1"/>
    <n v="7.29"/>
    <n v="29.16"/>
    <s v="Excelsa"/>
    <x v="2"/>
    <x v="0"/>
  </r>
  <r>
    <s v="AUP-10128-606"/>
    <x v="178"/>
    <s v="54387-64897-XC"/>
    <s v="A-M-0.5"/>
    <n v="1"/>
    <x v="194"/>
    <s v="bmcgilvrabm@so-net.ne.jp"/>
    <x v="2"/>
    <x v="2"/>
    <s v="M"/>
    <x v="1"/>
    <n v="6.75"/>
    <n v="6.75"/>
    <s v="Arabica"/>
    <x v="0"/>
    <x v="1"/>
  </r>
  <r>
    <s v="YTW-40242-005"/>
    <x v="179"/>
    <s v="01035-70465-UO"/>
    <s v="L-D-1"/>
    <n v="4"/>
    <x v="195"/>
    <s v="amckellerbo@ning.com"/>
    <x v="0"/>
    <x v="3"/>
    <s v="D"/>
    <x v="0"/>
    <n v="12.95"/>
    <n v="51.8"/>
    <s v="Liberica"/>
    <x v="2"/>
    <x v="0"/>
  </r>
  <r>
    <s v="PRP-53390-819"/>
    <x v="180"/>
    <s v="84260-39432-ML"/>
    <s v="E-L-0.5"/>
    <n v="6"/>
    <x v="196"/>
    <s v=""/>
    <x v="0"/>
    <x v="1"/>
    <s v="L"/>
    <x v="1"/>
    <n v="8.91"/>
    <n v="53.46"/>
    <s v="Excelsa"/>
    <x v="1"/>
    <x v="1"/>
  </r>
  <r>
    <s v="GSJ-01065-125"/>
    <x v="181"/>
    <s v="69779-40609-RS"/>
    <s v="E-D-0.2"/>
    <n v="4"/>
    <x v="197"/>
    <s v="ydombrellbs@dedecms.com"/>
    <x v="0"/>
    <x v="1"/>
    <s v="D"/>
    <x v="3"/>
    <n v="3.645"/>
    <n v="14.58"/>
    <s v="Excelsa"/>
    <x v="2"/>
    <x v="0"/>
  </r>
  <r>
    <s v="YQU-65147-580"/>
    <x v="182"/>
    <s v="80247-70000-HT"/>
    <s v="R-D-2.5"/>
    <n v="1"/>
    <x v="198"/>
    <s v="mdarrigoebu@hud.gov"/>
    <x v="0"/>
    <x v="0"/>
    <s v="D"/>
    <x v="2"/>
    <n v="20.584999999999997"/>
    <n v="20.584999999999997"/>
    <s v="Robusta"/>
    <x v="2"/>
    <x v="1"/>
  </r>
  <r>
    <s v="QPM-95832-683"/>
    <x v="183"/>
    <s v="35058-04550-VC"/>
    <s v="L-L-1"/>
    <n v="2"/>
    <x v="199"/>
    <s v="mackrillbw@bandcamp.com"/>
    <x v="1"/>
    <x v="3"/>
    <s v="L"/>
    <x v="0"/>
    <n v="15.85"/>
    <n v="31.7"/>
    <s v="Liberica"/>
    <x v="1"/>
    <x v="1"/>
  </r>
  <r>
    <s v="BNQ-88920-567"/>
    <x v="184"/>
    <s v="27226-53717-SY"/>
    <s v="L-D-0.2"/>
    <n v="6"/>
    <x v="200"/>
    <s v="mkippenby@dion.ne.jp"/>
    <x v="0"/>
    <x v="3"/>
    <s v="D"/>
    <x v="3"/>
    <n v="3.8849999999999998"/>
    <n v="23.31"/>
    <s v="Liberica"/>
    <x v="2"/>
    <x v="1"/>
  </r>
  <r>
    <s v="PUX-47906-110"/>
    <x v="185"/>
    <s v="02002-98725-CH"/>
    <s v="L-M-1"/>
    <n v="4"/>
    <x v="201"/>
    <s v=""/>
    <x v="0"/>
    <x v="3"/>
    <s v="M"/>
    <x v="0"/>
    <n v="14.55"/>
    <n v="58.2"/>
    <s v="Liberica"/>
    <x v="0"/>
    <x v="0"/>
  </r>
  <r>
    <s v="COL-72079-610"/>
    <x v="186"/>
    <s v="38487-01549-MV"/>
    <s v="E-L-0.5"/>
    <n v="4"/>
    <x v="202"/>
    <s v=""/>
    <x v="0"/>
    <x v="1"/>
    <s v="L"/>
    <x v="1"/>
    <n v="8.91"/>
    <n v="35.64"/>
    <s v="Excelsa"/>
    <x v="1"/>
    <x v="1"/>
  </r>
  <r>
    <s v="LBC-45686-819"/>
    <x v="187"/>
    <s v="98573-41811-EQ"/>
    <s v="A-M-1"/>
    <n v="5"/>
    <x v="203"/>
    <s v="orylandc4@deviantart.com"/>
    <x v="1"/>
    <x v="2"/>
    <s v="M"/>
    <x v="0"/>
    <n v="11.25"/>
    <n v="56.25"/>
    <s v="Arabica"/>
    <x v="0"/>
    <x v="0"/>
  </r>
  <r>
    <s v="BLQ-03709-265"/>
    <x v="148"/>
    <s v="72463-75685-MV"/>
    <s v="R-L-0.2"/>
    <n v="3"/>
    <x v="204"/>
    <s v="blottringtonc6@redcross.org"/>
    <x v="0"/>
    <x v="0"/>
    <s v="L"/>
    <x v="3"/>
    <n v="3.5849999999999995"/>
    <n v="10.754999999999999"/>
    <s v="Robusta"/>
    <x v="1"/>
    <x v="1"/>
  </r>
  <r>
    <s v="BLQ-03709-265"/>
    <x v="148"/>
    <s v="72463-75685-MV"/>
    <s v="R-M-0.2"/>
    <n v="5"/>
    <x v="204"/>
    <s v="craglessc7@webmd.com"/>
    <x v="0"/>
    <x v="0"/>
    <s v="M"/>
    <x v="3"/>
    <n v="2.9849999999999999"/>
    <n v="14.924999999999999"/>
    <s v="Robusta"/>
    <x v="0"/>
    <x v="1"/>
  </r>
  <r>
    <s v="VFZ-91673-181"/>
    <x v="188"/>
    <s v="10225-91535-AI"/>
    <s v="A-L-1"/>
    <n v="6"/>
    <x v="205"/>
    <s v="kheadsca@jalbum.net"/>
    <x v="0"/>
    <x v="2"/>
    <s v="L"/>
    <x v="0"/>
    <n v="12.95"/>
    <n v="77.699999999999989"/>
    <s v="Arabica"/>
    <x v="1"/>
    <x v="0"/>
  </r>
  <r>
    <s v="WKD-81956-870"/>
    <x v="189"/>
    <s v="48090-06534-HI"/>
    <s v="L-D-0.5"/>
    <n v="3"/>
    <x v="206"/>
    <s v="rjacquemardcc@acquirethisname.com"/>
    <x v="0"/>
    <x v="3"/>
    <s v="D"/>
    <x v="1"/>
    <n v="7.77"/>
    <n v="23.31"/>
    <s v="Liberica"/>
    <x v="2"/>
    <x v="1"/>
  </r>
  <r>
    <s v="TNI-91067-006"/>
    <x v="190"/>
    <s v="80444-58185-FX"/>
    <s v="E-L-1"/>
    <n v="4"/>
    <x v="207"/>
    <s v="wcholomince@about.com"/>
    <x v="0"/>
    <x v="1"/>
    <s v="L"/>
    <x v="0"/>
    <n v="14.85"/>
    <n v="59.4"/>
    <s v="Excelsa"/>
    <x v="1"/>
    <x v="0"/>
  </r>
  <r>
    <s v="IZA-61469-812"/>
    <x v="191"/>
    <s v="13561-92774-WP"/>
    <s v="L-D-2.5"/>
    <n v="4"/>
    <x v="208"/>
    <s v="pdurbancg@symantec.com"/>
    <x v="0"/>
    <x v="3"/>
    <s v="D"/>
    <x v="2"/>
    <n v="29.784999999999997"/>
    <n v="119.13999999999999"/>
    <s v="Liberica"/>
    <x v="2"/>
    <x v="0"/>
  </r>
  <r>
    <s v="PSS-22466-862"/>
    <x v="192"/>
    <s v="11550-78378-GE"/>
    <s v="R-L-0.2"/>
    <n v="4"/>
    <x v="209"/>
    <s v="spamphilonci@mlb.com"/>
    <x v="1"/>
    <x v="0"/>
    <s v="L"/>
    <x v="3"/>
    <n v="3.5849999999999995"/>
    <n v="14.339999999999998"/>
    <s v="Robusta"/>
    <x v="1"/>
    <x v="1"/>
  </r>
  <r>
    <s v="REH-56504-397"/>
    <x v="193"/>
    <s v="90961-35603-RP"/>
    <s v="A-M-2.5"/>
    <n v="5"/>
    <x v="210"/>
    <s v="msesonck@census.gov"/>
    <x v="0"/>
    <x v="2"/>
    <s v="M"/>
    <x v="2"/>
    <n v="25.874999999999996"/>
    <n v="129.37499999999997"/>
    <s v="Arabica"/>
    <x v="0"/>
    <x v="1"/>
  </r>
  <r>
    <s v="ALA-62598-016"/>
    <x v="194"/>
    <s v="57145-03803-ZL"/>
    <s v="R-D-0.2"/>
    <n v="6"/>
    <x v="211"/>
    <s v="rcawleycm@yellowbook.com"/>
    <x v="2"/>
    <x v="0"/>
    <s v="D"/>
    <x v="3"/>
    <n v="2.6849999999999996"/>
    <n v="16.11"/>
    <s v="Robusta"/>
    <x v="2"/>
    <x v="0"/>
  </r>
  <r>
    <s v="EYE-70374-835"/>
    <x v="195"/>
    <s v="89115-11966-VF"/>
    <s v="R-L-0.2"/>
    <n v="5"/>
    <x v="212"/>
    <s v="aadamidesco@bizjournals.com"/>
    <x v="0"/>
    <x v="0"/>
    <s v="L"/>
    <x v="3"/>
    <n v="3.5849999999999995"/>
    <n v="17.924999999999997"/>
    <s v="Robusta"/>
    <x v="1"/>
    <x v="1"/>
  </r>
  <r>
    <s v="CCZ-19589-212"/>
    <x v="196"/>
    <s v="05754-41702-FG"/>
    <s v="L-M-0.2"/>
    <n v="2"/>
    <x v="213"/>
    <s v="rwillowaycq@admin.ch"/>
    <x v="0"/>
    <x v="3"/>
    <s v="M"/>
    <x v="3"/>
    <n v="4.3650000000000002"/>
    <n v="8.73"/>
    <s v="Liberica"/>
    <x v="0"/>
    <x v="1"/>
  </r>
  <r>
    <s v="BPT-83989-157"/>
    <x v="197"/>
    <s v="84269-49816-ML"/>
    <s v="A-M-2.5"/>
    <n v="2"/>
    <x v="214"/>
    <s v="abilbrookcs@booking.com"/>
    <x v="0"/>
    <x v="2"/>
    <s v="M"/>
    <x v="2"/>
    <n v="25.874999999999996"/>
    <n v="51.749999999999993"/>
    <s v="Arabica"/>
    <x v="0"/>
    <x v="1"/>
  </r>
  <r>
    <s v="YFH-87456-208"/>
    <x v="198"/>
    <s v="23600-98432-ME"/>
    <s v="L-M-0.2"/>
    <n v="2"/>
    <x v="215"/>
    <s v="bdailecu@vistaprint.com"/>
    <x v="0"/>
    <x v="3"/>
    <s v="M"/>
    <x v="3"/>
    <n v="4.3650000000000002"/>
    <n v="8.73"/>
    <s v="Liberica"/>
    <x v="0"/>
    <x v="0"/>
  </r>
  <r>
    <s v="JLN-14700-924"/>
    <x v="199"/>
    <s v="79058-02767-CP"/>
    <s v="L-L-0.2"/>
    <n v="5"/>
    <x v="216"/>
    <s v="abrentnallcw@biglobe.ne.jp"/>
    <x v="2"/>
    <x v="3"/>
    <s v="L"/>
    <x v="3"/>
    <n v="4.7549999999999999"/>
    <n v="23.774999999999999"/>
    <s v="Liberica"/>
    <x v="1"/>
    <x v="1"/>
  </r>
  <r>
    <s v="JVW-22582-137"/>
    <x v="200"/>
    <s v="89208-74646-UK"/>
    <s v="E-M-0.2"/>
    <n v="5"/>
    <x v="217"/>
    <s v="dkornelcy@cyberchimps.com"/>
    <x v="0"/>
    <x v="1"/>
    <s v="M"/>
    <x v="3"/>
    <n v="4.125"/>
    <n v="20.625"/>
    <s v="Excelsa"/>
    <x v="0"/>
    <x v="1"/>
  </r>
  <r>
    <s v="LAA-41879-001"/>
    <x v="201"/>
    <s v="11408-81032-UR"/>
    <s v="L-L-2.5"/>
    <n v="1"/>
    <x v="218"/>
    <s v="jmccaulld0@parallels.com"/>
    <x v="0"/>
    <x v="3"/>
    <s v="L"/>
    <x v="2"/>
    <n v="36.454999999999998"/>
    <n v="36.454999999999998"/>
    <s v="Liberica"/>
    <x v="1"/>
    <x v="1"/>
  </r>
  <r>
    <s v="BRV-64870-915"/>
    <x v="202"/>
    <s v="32070-55528-UG"/>
    <s v="L-L-2.5"/>
    <n v="5"/>
    <x v="219"/>
    <s v="ahutchinsond2@imgur.com"/>
    <x v="1"/>
    <x v="3"/>
    <s v="L"/>
    <x v="2"/>
    <n v="36.454999999999998"/>
    <n v="182.27499999999998"/>
    <s v="Liberica"/>
    <x v="1"/>
    <x v="1"/>
  </r>
  <r>
    <s v="RGJ-12544-083"/>
    <x v="203"/>
    <s v="48873-84433-PN"/>
    <s v="L-D-2.5"/>
    <n v="3"/>
    <x v="220"/>
    <s v="rdriversd4@hexun.com"/>
    <x v="1"/>
    <x v="3"/>
    <s v="D"/>
    <x v="2"/>
    <n v="29.784999999999997"/>
    <n v="89.35499999999999"/>
    <s v="Liberica"/>
    <x v="2"/>
    <x v="1"/>
  </r>
  <r>
    <s v="JJX-83339-346"/>
    <x v="204"/>
    <s v="32928-18158-OW"/>
    <s v="R-L-0.2"/>
    <n v="1"/>
    <x v="221"/>
    <s v="gsmallcombed6@ucla.edu"/>
    <x v="0"/>
    <x v="0"/>
    <s v="L"/>
    <x v="3"/>
    <n v="3.5849999999999995"/>
    <n v="3.5849999999999995"/>
    <s v="Robusta"/>
    <x v="1"/>
    <x v="0"/>
  </r>
  <r>
    <s v="BIU-21970-705"/>
    <x v="205"/>
    <s v="89711-56688-GG"/>
    <s v="R-M-2.5"/>
    <n v="2"/>
    <x v="222"/>
    <s v="gdimitrioud8@chronoengine.com"/>
    <x v="0"/>
    <x v="0"/>
    <s v="M"/>
    <x v="2"/>
    <n v="22.884999999999998"/>
    <n v="45.769999999999996"/>
    <s v="Robusta"/>
    <x v="0"/>
    <x v="0"/>
  </r>
  <r>
    <s v="ELJ-87741-745"/>
    <x v="206"/>
    <s v="48389-71976-JB"/>
    <s v="E-L-1"/>
    <n v="4"/>
    <x v="223"/>
    <s v="abrashda@plala.or.jp"/>
    <x v="0"/>
    <x v="1"/>
    <s v="L"/>
    <x v="0"/>
    <n v="14.85"/>
    <n v="59.4"/>
    <s v="Excelsa"/>
    <x v="1"/>
    <x v="1"/>
  </r>
  <r>
    <s v="SGI-48226-857"/>
    <x v="207"/>
    <s v="84033-80762-EQ"/>
    <s v="A-M-2.5"/>
    <n v="6"/>
    <x v="224"/>
    <s v="wmcinerneydc@wordpress.com"/>
    <x v="0"/>
    <x v="2"/>
    <s v="M"/>
    <x v="2"/>
    <n v="25.874999999999996"/>
    <n v="155.24999999999997"/>
    <s v="Arabica"/>
    <x v="0"/>
    <x v="0"/>
  </r>
  <r>
    <s v="AHV-66988-037"/>
    <x v="208"/>
    <s v="12743-00952-KO"/>
    <s v="R-M-2.5"/>
    <n v="2"/>
    <x v="225"/>
    <s v="skeetsde@answers.com"/>
    <x v="0"/>
    <x v="0"/>
    <s v="M"/>
    <x v="2"/>
    <n v="22.884999999999998"/>
    <n v="45.769999999999996"/>
    <s v="Robusta"/>
    <x v="0"/>
    <x v="1"/>
  </r>
  <r>
    <s v="ISK-42066-094"/>
    <x v="209"/>
    <s v="41505-42181-EF"/>
    <s v="E-D-1"/>
    <n v="3"/>
    <x v="226"/>
    <s v="kcakedg@huffingtonpost.com"/>
    <x v="0"/>
    <x v="1"/>
    <s v="D"/>
    <x v="0"/>
    <n v="12.15"/>
    <n v="36.450000000000003"/>
    <s v="Excelsa"/>
    <x v="2"/>
    <x v="0"/>
  </r>
  <r>
    <s v="FTC-35822-530"/>
    <x v="210"/>
    <s v="14307-87663-KB"/>
    <s v="E-D-0.5"/>
    <n v="4"/>
    <x v="227"/>
    <s v="fkienleindi@trellian.com"/>
    <x v="0"/>
    <x v="1"/>
    <s v="D"/>
    <x v="1"/>
    <n v="7.29"/>
    <n v="29.16"/>
    <s v="Excelsa"/>
    <x v="2"/>
    <x v="0"/>
  </r>
  <r>
    <s v="VSS-56247-688"/>
    <x v="211"/>
    <s v="08360-19442-GB"/>
    <s v="L-M-2.5"/>
    <n v="4"/>
    <x v="228"/>
    <s v="bsemkinsdk@unc.edu"/>
    <x v="0"/>
    <x v="3"/>
    <s v="M"/>
    <x v="2"/>
    <n v="33.464999999999996"/>
    <n v="133.85999999999999"/>
    <s v="Liberica"/>
    <x v="0"/>
    <x v="1"/>
  </r>
  <r>
    <s v="HVW-25584-144"/>
    <x v="212"/>
    <s v="93405-51204-UW"/>
    <s v="L-L-0.2"/>
    <n v="5"/>
    <x v="229"/>
    <s v="bgiannazzidm@apple.com"/>
    <x v="0"/>
    <x v="3"/>
    <s v="L"/>
    <x v="3"/>
    <n v="4.7549999999999999"/>
    <n v="23.774999999999999"/>
    <s v="Liberica"/>
    <x v="1"/>
    <x v="0"/>
  </r>
  <r>
    <s v="MUY-15309-209"/>
    <x v="213"/>
    <s v="97152-03355-IW"/>
    <s v="L-D-1"/>
    <n v="3"/>
    <x v="230"/>
    <s v="ulethbrigdo@hc360.com"/>
    <x v="2"/>
    <x v="3"/>
    <s v="D"/>
    <x v="0"/>
    <n v="12.95"/>
    <n v="38.849999999999994"/>
    <s v="Liberica"/>
    <x v="2"/>
    <x v="1"/>
  </r>
  <r>
    <s v="VAJ-44572-469"/>
    <x v="63"/>
    <s v="79216-73157-TE"/>
    <s v="R-L-0.2"/>
    <n v="6"/>
    <x v="231"/>
    <s v="fjecockdq@unicef.org"/>
    <x v="1"/>
    <x v="0"/>
    <s v="L"/>
    <x v="3"/>
    <n v="3.5849999999999995"/>
    <n v="21.509999999999998"/>
    <s v="Robusta"/>
    <x v="1"/>
    <x v="0"/>
  </r>
  <r>
    <s v="YJU-84377-606"/>
    <x v="214"/>
    <s v="20259-47723-AC"/>
    <s v="A-D-1"/>
    <n v="1"/>
    <x v="232"/>
    <s v="hpallisterds@ning.com"/>
    <x v="0"/>
    <x v="2"/>
    <s v="D"/>
    <x v="0"/>
    <n v="9.9499999999999993"/>
    <n v="9.9499999999999993"/>
    <s v="Arabica"/>
    <x v="2"/>
    <x v="0"/>
  </r>
  <r>
    <s v="VNC-93921-469"/>
    <x v="215"/>
    <s v="04666-71569-RI"/>
    <s v="L-L-1"/>
    <n v="1"/>
    <x v="233"/>
    <s v="wstearleye1@census.gov"/>
    <x v="0"/>
    <x v="3"/>
    <s v="L"/>
    <x v="0"/>
    <n v="15.85"/>
    <n v="15.85"/>
    <s v="Liberica"/>
    <x v="1"/>
    <x v="0"/>
  </r>
  <r>
    <s v="OGB-91614-810"/>
    <x v="216"/>
    <s v="08909-77713-CG"/>
    <s v="R-M-0.2"/>
    <n v="1"/>
    <x v="234"/>
    <s v=""/>
    <x v="0"/>
    <x v="0"/>
    <s v="M"/>
    <x v="3"/>
    <n v="2.9849999999999999"/>
    <n v="2.9849999999999999"/>
    <s v="Robusta"/>
    <x v="0"/>
    <x v="0"/>
  </r>
  <r>
    <s v="BQI-61647-496"/>
    <x v="217"/>
    <s v="84340-73931-VV"/>
    <s v="E-M-1"/>
    <n v="5"/>
    <x v="235"/>
    <s v="eshearsbydy@g.co"/>
    <x v="0"/>
    <x v="1"/>
    <s v="M"/>
    <x v="0"/>
    <n v="13.75"/>
    <n v="68.75"/>
    <s v="Excelsa"/>
    <x v="0"/>
    <x v="0"/>
  </r>
  <r>
    <s v="IOM-51636-823"/>
    <x v="218"/>
    <s v="04609-95151-XH"/>
    <s v="A-D-1"/>
    <n v="3"/>
    <x v="236"/>
    <s v="nerswelle0@mlb.com"/>
    <x v="0"/>
    <x v="2"/>
    <s v="D"/>
    <x v="0"/>
    <n v="9.9499999999999993"/>
    <n v="29.849999999999998"/>
    <s v="Arabica"/>
    <x v="2"/>
    <x v="1"/>
  </r>
  <r>
    <s v="GGD-38107-641"/>
    <x v="219"/>
    <s v="99562-88650-YF"/>
    <s v="L-M-1"/>
    <n v="4"/>
    <x v="237"/>
    <s v="dwincere2@marriott.com"/>
    <x v="0"/>
    <x v="3"/>
    <s v="M"/>
    <x v="0"/>
    <n v="14.55"/>
    <n v="58.2"/>
    <s v="Liberica"/>
    <x v="0"/>
    <x v="1"/>
  </r>
  <r>
    <s v="LTO-95975-728"/>
    <x v="220"/>
    <s v="46560-73885-PJ"/>
    <s v="R-L-0.5"/>
    <n v="4"/>
    <x v="238"/>
    <s v="hperrise4@studiopress.com"/>
    <x v="2"/>
    <x v="0"/>
    <s v="L"/>
    <x v="1"/>
    <n v="7.169999999999999"/>
    <n v="28.679999999999996"/>
    <s v="Robusta"/>
    <x v="1"/>
    <x v="1"/>
  </r>
  <r>
    <s v="IGM-84664-265"/>
    <x v="114"/>
    <s v="80179-44620-WN"/>
    <s v="R-L-0.5"/>
    <n v="3"/>
    <x v="239"/>
    <s v="ckide6@narod.ru"/>
    <x v="0"/>
    <x v="0"/>
    <s v="L"/>
    <x v="1"/>
    <n v="7.169999999999999"/>
    <n v="21.509999999999998"/>
    <s v="Robusta"/>
    <x v="1"/>
    <x v="1"/>
  </r>
  <r>
    <s v="SKO-45740-621"/>
    <x v="221"/>
    <s v="04666-71569-RI"/>
    <s v="L-M-0.5"/>
    <n v="2"/>
    <x v="233"/>
    <s v="cbakeupe8@globo.com"/>
    <x v="0"/>
    <x v="3"/>
    <s v="M"/>
    <x v="1"/>
    <n v="8.73"/>
    <n v="17.46"/>
    <s v="Liberica"/>
    <x v="0"/>
    <x v="0"/>
  </r>
  <r>
    <s v="FOJ-02234-063"/>
    <x v="222"/>
    <s v="59081-87231-VP"/>
    <s v="E-D-2.5"/>
    <n v="1"/>
    <x v="240"/>
    <s v="pwitheringtonea@networkadvertising.org"/>
    <x v="0"/>
    <x v="1"/>
    <s v="D"/>
    <x v="2"/>
    <n v="27.945"/>
    <n v="27.945"/>
    <s v="Excelsa"/>
    <x v="2"/>
    <x v="0"/>
  </r>
  <r>
    <s v="MSJ-11909-468"/>
    <x v="188"/>
    <s v="07878-45872-CC"/>
    <s v="E-D-2.5"/>
    <n v="5"/>
    <x v="241"/>
    <s v=""/>
    <x v="0"/>
    <x v="1"/>
    <s v="D"/>
    <x v="2"/>
    <n v="27.945"/>
    <n v="139.72499999999999"/>
    <s v="Excelsa"/>
    <x v="2"/>
    <x v="1"/>
  </r>
  <r>
    <s v="DKB-78053-329"/>
    <x v="223"/>
    <s v="12444-05174-OO"/>
    <s v="R-M-0.2"/>
    <n v="2"/>
    <x v="242"/>
    <s v="kimortsee@alexa.com"/>
    <x v="2"/>
    <x v="0"/>
    <s v="M"/>
    <x v="3"/>
    <n v="2.9849999999999999"/>
    <n v="5.97"/>
    <s v="Robusta"/>
    <x v="0"/>
    <x v="1"/>
  </r>
  <r>
    <s v="DFZ-45083-941"/>
    <x v="224"/>
    <s v="34665-62561-AU"/>
    <s v="R-L-2.5"/>
    <n v="1"/>
    <x v="243"/>
    <s v="marmisteadeg@blogtalkradio.com"/>
    <x v="0"/>
    <x v="0"/>
    <s v="L"/>
    <x v="2"/>
    <n v="27.484999999999996"/>
    <n v="27.484999999999996"/>
    <s v="Robusta"/>
    <x v="1"/>
    <x v="0"/>
  </r>
  <r>
    <s v="OTA-40969-710"/>
    <x v="83"/>
    <s v="77877-11993-QH"/>
    <s v="R-L-1"/>
    <n v="5"/>
    <x v="244"/>
    <s v="vupstoneei@google.pl"/>
    <x v="0"/>
    <x v="0"/>
    <s v="L"/>
    <x v="0"/>
    <n v="11.95"/>
    <n v="59.75"/>
    <s v="Robusta"/>
    <x v="1"/>
    <x v="0"/>
  </r>
  <r>
    <s v="GRH-45571-667"/>
    <x v="104"/>
    <s v="32291-18308-YZ"/>
    <s v="E-M-1"/>
    <n v="3"/>
    <x v="245"/>
    <s v=""/>
    <x v="0"/>
    <x v="1"/>
    <s v="M"/>
    <x v="0"/>
    <n v="13.75"/>
    <n v="41.25"/>
    <s v="Excelsa"/>
    <x v="0"/>
    <x v="1"/>
  </r>
  <r>
    <s v="NXV-05302-067"/>
    <x v="225"/>
    <s v="25754-33191-ZI"/>
    <s v="L-M-2.5"/>
    <n v="4"/>
    <x v="246"/>
    <s v="wspeechlyem@amazon.com"/>
    <x v="0"/>
    <x v="3"/>
    <s v="M"/>
    <x v="2"/>
    <n v="33.464999999999996"/>
    <n v="133.85999999999999"/>
    <s v="Liberica"/>
    <x v="0"/>
    <x v="1"/>
  </r>
  <r>
    <s v="VZH-86274-142"/>
    <x v="226"/>
    <s v="53120-45532-KL"/>
    <s v="R-L-1"/>
    <n v="5"/>
    <x v="247"/>
    <s v="lpennaccieo@statcounter.com"/>
    <x v="1"/>
    <x v="0"/>
    <s v="L"/>
    <x v="0"/>
    <n v="11.95"/>
    <n v="59.75"/>
    <s v="Robusta"/>
    <x v="1"/>
    <x v="0"/>
  </r>
  <r>
    <s v="KIX-93248-135"/>
    <x v="227"/>
    <s v="36605-83052-WB"/>
    <s v="A-D-0.5"/>
    <n v="1"/>
    <x v="248"/>
    <s v="dfrieseq@cargocollective.com"/>
    <x v="0"/>
    <x v="2"/>
    <s v="D"/>
    <x v="1"/>
    <n v="5.97"/>
    <n v="5.97"/>
    <s v="Arabica"/>
    <x v="2"/>
    <x v="0"/>
  </r>
  <r>
    <s v="AXR-10962-010"/>
    <x v="180"/>
    <s v="53683-35977-KI"/>
    <s v="E-D-1"/>
    <n v="2"/>
    <x v="249"/>
    <s v="nnasebyes@umich.edu"/>
    <x v="2"/>
    <x v="1"/>
    <s v="D"/>
    <x v="0"/>
    <n v="12.15"/>
    <n v="24.3"/>
    <s v="Excelsa"/>
    <x v="2"/>
    <x v="1"/>
  </r>
  <r>
    <s v="IHS-71573-008"/>
    <x v="228"/>
    <s v="07972-83134-NM"/>
    <s v="E-D-0.2"/>
    <n v="6"/>
    <x v="250"/>
    <s v="koculleneu@ca.gov"/>
    <x v="0"/>
    <x v="1"/>
    <s v="D"/>
    <x v="3"/>
    <n v="3.645"/>
    <n v="21.87"/>
    <s v="Excelsa"/>
    <x v="2"/>
    <x v="0"/>
  </r>
  <r>
    <s v="QTR-19001-114"/>
    <x v="229"/>
    <s v="01035-70465-UO"/>
    <s v="A-D-1"/>
    <n v="2"/>
    <x v="195"/>
    <s v="abrashda@plala.or.jp"/>
    <x v="0"/>
    <x v="2"/>
    <s v="D"/>
    <x v="0"/>
    <n v="9.9499999999999993"/>
    <n v="19.899999999999999"/>
    <s v="Arabica"/>
    <x v="2"/>
    <x v="0"/>
  </r>
  <r>
    <s v="WBK-62297-910"/>
    <x v="230"/>
    <s v="25514-23938-IQ"/>
    <s v="A-D-0.2"/>
    <n v="2"/>
    <x v="251"/>
    <s v="agallyoney@engadget.com"/>
    <x v="0"/>
    <x v="2"/>
    <s v="D"/>
    <x v="3"/>
    <n v="2.9849999999999999"/>
    <n v="5.97"/>
    <s v="Arabica"/>
    <x v="2"/>
    <x v="1"/>
  </r>
  <r>
    <s v="OGY-19377-175"/>
    <x v="231"/>
    <s v="49084-44492-OJ"/>
    <s v="E-D-0.5"/>
    <n v="1"/>
    <x v="252"/>
    <s v="koslerf0@gmpg.org"/>
    <x v="1"/>
    <x v="1"/>
    <s v="D"/>
    <x v="1"/>
    <n v="7.29"/>
    <n v="7.29"/>
    <s v="Excelsa"/>
    <x v="2"/>
    <x v="0"/>
  </r>
  <r>
    <s v="ESR-66651-814"/>
    <x v="80"/>
    <s v="76624-72205-CK"/>
    <s v="A-D-0.2"/>
    <n v="4"/>
    <x v="253"/>
    <s v="zpellettf2@dailymotion.com"/>
    <x v="0"/>
    <x v="2"/>
    <s v="D"/>
    <x v="3"/>
    <n v="2.9849999999999999"/>
    <n v="11.94"/>
    <s v="Arabica"/>
    <x v="2"/>
    <x v="0"/>
  </r>
  <r>
    <s v="CPX-46916-770"/>
    <x v="232"/>
    <s v="12729-50170-JE"/>
    <s v="R-L-1"/>
    <n v="6"/>
    <x v="254"/>
    <s v="hfromantf4@ucsd.edu"/>
    <x v="1"/>
    <x v="0"/>
    <s v="L"/>
    <x v="0"/>
    <n v="11.95"/>
    <n v="71.699999999999989"/>
    <s v="Robusta"/>
    <x v="1"/>
    <x v="0"/>
  </r>
  <r>
    <s v="MDC-03318-645"/>
    <x v="233"/>
    <s v="43974-44760-QI"/>
    <s v="A-L-0.2"/>
    <n v="2"/>
    <x v="255"/>
    <s v=""/>
    <x v="0"/>
    <x v="2"/>
    <s v="L"/>
    <x v="3"/>
    <n v="3.8849999999999998"/>
    <n v="7.77"/>
    <s v="Arabica"/>
    <x v="1"/>
    <x v="1"/>
  </r>
  <r>
    <s v="SFF-86059-407"/>
    <x v="234"/>
    <s v="30585-48726-BK"/>
    <s v="A-M-2.5"/>
    <n v="1"/>
    <x v="256"/>
    <s v="bmundenf8@elpais.com"/>
    <x v="0"/>
    <x v="2"/>
    <s v="M"/>
    <x v="2"/>
    <n v="25.874999999999996"/>
    <n v="25.874999999999996"/>
    <s v="Arabica"/>
    <x v="0"/>
    <x v="1"/>
  </r>
  <r>
    <s v="SCL-94540-788"/>
    <x v="235"/>
    <s v="16123-07017-TY"/>
    <s v="E-L-2.5"/>
    <n v="6"/>
    <x v="257"/>
    <s v="nbrakespearfa@rediff.com"/>
    <x v="0"/>
    <x v="1"/>
    <s v="L"/>
    <x v="2"/>
    <n v="34.154999999999994"/>
    <n v="204.92999999999995"/>
    <s v="Excelsa"/>
    <x v="1"/>
    <x v="1"/>
  </r>
  <r>
    <s v="HVU-21634-076"/>
    <x v="236"/>
    <s v="27723-45097-MH"/>
    <s v="R-L-2.5"/>
    <n v="4"/>
    <x v="258"/>
    <s v="galbertsfc@etsy.com"/>
    <x v="1"/>
    <x v="0"/>
    <s v="L"/>
    <x v="2"/>
    <n v="27.484999999999996"/>
    <n v="109.93999999999998"/>
    <s v="Robusta"/>
    <x v="1"/>
    <x v="0"/>
  </r>
  <r>
    <s v="XUS-73326-418"/>
    <x v="237"/>
    <s v="37078-56703-AF"/>
    <s v="E-L-1"/>
    <n v="6"/>
    <x v="259"/>
    <s v=""/>
    <x v="0"/>
    <x v="1"/>
    <s v="L"/>
    <x v="0"/>
    <n v="14.85"/>
    <n v="89.1"/>
    <s v="Excelsa"/>
    <x v="1"/>
    <x v="1"/>
  </r>
  <r>
    <s v="XWD-18933-006"/>
    <x v="238"/>
    <s v="79420-11075-MY"/>
    <s v="A-L-0.2"/>
    <n v="2"/>
    <x v="260"/>
    <s v="craisbeckfg@webnode.com"/>
    <x v="0"/>
    <x v="2"/>
    <s v="L"/>
    <x v="3"/>
    <n v="3.8849999999999998"/>
    <n v="7.77"/>
    <s v="Arabica"/>
    <x v="1"/>
    <x v="0"/>
  </r>
  <r>
    <s v="HPD-65272-772"/>
    <x v="52"/>
    <s v="57504-13456-UO"/>
    <s v="L-M-2.5"/>
    <n v="1"/>
    <x v="261"/>
    <s v=""/>
    <x v="0"/>
    <x v="3"/>
    <s v="M"/>
    <x v="2"/>
    <n v="33.464999999999996"/>
    <n v="33.464999999999996"/>
    <s v="Liberica"/>
    <x v="0"/>
    <x v="0"/>
  </r>
  <r>
    <s v="JEG-93140-224"/>
    <x v="146"/>
    <s v="53751-57560-CN"/>
    <s v="E-M-0.5"/>
    <n v="5"/>
    <x v="262"/>
    <s v=""/>
    <x v="0"/>
    <x v="1"/>
    <s v="M"/>
    <x v="1"/>
    <n v="8.25"/>
    <n v="41.25"/>
    <s v="Excelsa"/>
    <x v="0"/>
    <x v="0"/>
  </r>
  <r>
    <s v="NNH-62058-950"/>
    <x v="239"/>
    <s v="96112-42558-EA"/>
    <s v="E-L-1"/>
    <n v="4"/>
    <x v="263"/>
    <s v="bgrecefm@naver.com"/>
    <x v="0"/>
    <x v="1"/>
    <s v="L"/>
    <x v="0"/>
    <n v="14.85"/>
    <n v="59.4"/>
    <s v="Excelsa"/>
    <x v="1"/>
    <x v="0"/>
  </r>
  <r>
    <s v="LTD-71429-845"/>
    <x v="240"/>
    <s v="03157-23165-UB"/>
    <s v="A-L-0.5"/>
    <n v="1"/>
    <x v="264"/>
    <s v="athysfo@cdc.gov"/>
    <x v="2"/>
    <x v="2"/>
    <s v="L"/>
    <x v="1"/>
    <n v="7.77"/>
    <n v="7.77"/>
    <s v="Arabica"/>
    <x v="1"/>
    <x v="1"/>
  </r>
  <r>
    <s v="MPV-26985-215"/>
    <x v="241"/>
    <s v="51466-52850-AG"/>
    <s v="R-D-0.5"/>
    <n v="1"/>
    <x v="265"/>
    <s v="akelstonfq@sakura.ne.jp"/>
    <x v="2"/>
    <x v="0"/>
    <s v="D"/>
    <x v="1"/>
    <n v="5.3699999999999992"/>
    <n v="5.3699999999999992"/>
    <s v="Robusta"/>
    <x v="2"/>
    <x v="0"/>
  </r>
  <r>
    <s v="IYO-10245-081"/>
    <x v="242"/>
    <s v="57145-31023-FK"/>
    <s v="E-M-2.5"/>
    <n v="3"/>
    <x v="266"/>
    <s v="cmottramfs@harvard.edu"/>
    <x v="0"/>
    <x v="1"/>
    <s v="M"/>
    <x v="2"/>
    <n v="31.624999999999996"/>
    <n v="94.874999999999986"/>
    <s v="Excelsa"/>
    <x v="0"/>
    <x v="1"/>
  </r>
  <r>
    <s v="BYZ-39669-954"/>
    <x v="243"/>
    <s v="66408-53777-VE"/>
    <s v="L-L-2.5"/>
    <n v="1"/>
    <x v="267"/>
    <s v="dsangwinfu@weebly.com"/>
    <x v="0"/>
    <x v="3"/>
    <s v="L"/>
    <x v="2"/>
    <n v="36.454999999999998"/>
    <n v="36.454999999999998"/>
    <s v="Liberica"/>
    <x v="1"/>
    <x v="1"/>
  </r>
  <r>
    <s v="EFB-72860-209"/>
    <x v="244"/>
    <s v="53035-99701-WG"/>
    <s v="A-M-0.2"/>
    <n v="4"/>
    <x v="268"/>
    <s v=""/>
    <x v="0"/>
    <x v="2"/>
    <s v="M"/>
    <x v="3"/>
    <n v="3.375"/>
    <n v="13.5"/>
    <s v="Arabica"/>
    <x v="0"/>
    <x v="0"/>
  </r>
  <r>
    <s v="GMM-72397-378"/>
    <x v="245"/>
    <s v="45899-92796-EI"/>
    <s v="R-L-0.2"/>
    <n v="4"/>
    <x v="269"/>
    <s v="mharbyfy@163.com"/>
    <x v="0"/>
    <x v="0"/>
    <s v="L"/>
    <x v="3"/>
    <n v="3.5849999999999995"/>
    <n v="14.339999999999998"/>
    <s v="Robusta"/>
    <x v="1"/>
    <x v="1"/>
  </r>
  <r>
    <s v="LYP-52345-883"/>
    <x v="246"/>
    <s v="17649-28133-PY"/>
    <s v="E-M-0.5"/>
    <n v="1"/>
    <x v="270"/>
    <s v="pormerodg0@redcross.org"/>
    <x v="1"/>
    <x v="1"/>
    <s v="M"/>
    <x v="1"/>
    <n v="8.25"/>
    <n v="8.25"/>
    <s v="Excelsa"/>
    <x v="0"/>
    <x v="0"/>
  </r>
  <r>
    <s v="DFK-35846-692"/>
    <x v="247"/>
    <s v="49612-33852-CN"/>
    <s v="R-D-0.2"/>
    <n v="5"/>
    <x v="271"/>
    <s v="tzanettig2@gravatar.com"/>
    <x v="0"/>
    <x v="0"/>
    <s v="D"/>
    <x v="3"/>
    <n v="2.6849999999999996"/>
    <n v="13.424999999999997"/>
    <s v="Robusta"/>
    <x v="2"/>
    <x v="0"/>
  </r>
  <r>
    <s v="XAH-93337-609"/>
    <x v="248"/>
    <s v="66976-43829-YG"/>
    <s v="A-D-1"/>
    <n v="5"/>
    <x v="272"/>
    <s v="rkirtleyg4@hatena.ne.jp"/>
    <x v="0"/>
    <x v="2"/>
    <s v="D"/>
    <x v="0"/>
    <n v="9.9499999999999993"/>
    <n v="49.75"/>
    <s v="Arabica"/>
    <x v="2"/>
    <x v="1"/>
  </r>
  <r>
    <s v="QKA-72582-644"/>
    <x v="249"/>
    <s v="64852-04619-XZ"/>
    <s v="E-M-0.5"/>
    <n v="2"/>
    <x v="273"/>
    <s v="rdonetg6@oakley.com"/>
    <x v="1"/>
    <x v="1"/>
    <s v="M"/>
    <x v="1"/>
    <n v="8.25"/>
    <n v="16.5"/>
    <s v="Excelsa"/>
    <x v="0"/>
    <x v="1"/>
  </r>
  <r>
    <s v="ZDK-84567-102"/>
    <x v="250"/>
    <s v="58690-31815-VY"/>
    <s v="A-D-0.5"/>
    <n v="3"/>
    <x v="274"/>
    <s v="rreadieg8@guardian.co.uk"/>
    <x v="0"/>
    <x v="2"/>
    <s v="D"/>
    <x v="1"/>
    <n v="5.97"/>
    <n v="17.91"/>
    <s v="Arabica"/>
    <x v="2"/>
    <x v="1"/>
  </r>
  <r>
    <s v="WAV-38301-984"/>
    <x v="251"/>
    <s v="62863-81239-DT"/>
    <s v="A-D-0.5"/>
    <n v="5"/>
    <x v="275"/>
    <s v=""/>
    <x v="0"/>
    <x v="2"/>
    <s v="D"/>
    <x v="1"/>
    <n v="5.97"/>
    <n v="29.849999999999998"/>
    <s v="Arabica"/>
    <x v="2"/>
    <x v="1"/>
  </r>
  <r>
    <s v="KZR-33023-209"/>
    <x v="177"/>
    <s v="21177-40725-CF"/>
    <s v="E-L-1"/>
    <n v="3"/>
    <x v="276"/>
    <s v="vstansburygc@unblog.fr"/>
    <x v="0"/>
    <x v="1"/>
    <s v="L"/>
    <x v="0"/>
    <n v="14.85"/>
    <n v="44.55"/>
    <s v="Excelsa"/>
    <x v="1"/>
    <x v="1"/>
  </r>
  <r>
    <s v="ULM-49433-003"/>
    <x v="252"/>
    <s v="99421-80253-UI"/>
    <s v="E-M-1"/>
    <n v="2"/>
    <x v="277"/>
    <s v="jshentonge@google.com.hk"/>
    <x v="0"/>
    <x v="1"/>
    <s v="M"/>
    <x v="0"/>
    <n v="13.75"/>
    <n v="27.5"/>
    <s v="Excelsa"/>
    <x v="0"/>
    <x v="1"/>
  </r>
  <r>
    <s v="SIB-83254-136"/>
    <x v="253"/>
    <s v="45315-50206-DK"/>
    <s v="R-M-0.5"/>
    <n v="6"/>
    <x v="278"/>
    <s v=""/>
    <x v="0"/>
    <x v="0"/>
    <s v="M"/>
    <x v="1"/>
    <n v="5.97"/>
    <n v="35.82"/>
    <s v="Robusta"/>
    <x v="0"/>
    <x v="0"/>
  </r>
  <r>
    <s v="NOK-50349-551"/>
    <x v="254"/>
    <s v="09595-95726-OV"/>
    <s v="R-D-0.5"/>
    <n v="3"/>
    <x v="279"/>
    <s v="gstarcksgi@abc.net.au"/>
    <x v="0"/>
    <x v="0"/>
    <s v="D"/>
    <x v="1"/>
    <n v="5.3699999999999992"/>
    <n v="16.11"/>
    <s v="Robusta"/>
    <x v="2"/>
    <x v="0"/>
  </r>
  <r>
    <s v="YIS-96268-844"/>
    <x v="227"/>
    <s v="60221-67036-TD"/>
    <s v="E-L-0.2"/>
    <n v="6"/>
    <x v="280"/>
    <s v="kscholardgk@sbwire.com"/>
    <x v="0"/>
    <x v="1"/>
    <s v="L"/>
    <x v="3"/>
    <n v="4.4550000000000001"/>
    <n v="26.73"/>
    <s v="Excelsa"/>
    <x v="1"/>
    <x v="0"/>
  </r>
  <r>
    <s v="CXI-04933-855"/>
    <x v="110"/>
    <s v="62923-29397-KX"/>
    <s v="E-L-2.5"/>
    <n v="6"/>
    <x v="281"/>
    <s v="khammettgm@dmoz.org"/>
    <x v="0"/>
    <x v="1"/>
    <s v="L"/>
    <x v="2"/>
    <n v="34.154999999999994"/>
    <n v="204.92999999999995"/>
    <s v="Excelsa"/>
    <x v="1"/>
    <x v="0"/>
  </r>
  <r>
    <s v="IZU-90429-382"/>
    <x v="182"/>
    <s v="33011-52383-BA"/>
    <s v="A-L-1"/>
    <n v="3"/>
    <x v="282"/>
    <s v="plauritzengo@photobucket.com"/>
    <x v="0"/>
    <x v="2"/>
    <s v="L"/>
    <x v="0"/>
    <n v="12.95"/>
    <n v="38.849999999999994"/>
    <s v="Arabica"/>
    <x v="1"/>
    <x v="0"/>
  </r>
  <r>
    <s v="WIT-40912-783"/>
    <x v="255"/>
    <s v="86768-91598-FA"/>
    <s v="L-D-0.2"/>
    <n v="4"/>
    <x v="283"/>
    <s v="erolingq@google.fr"/>
    <x v="0"/>
    <x v="3"/>
    <s v="D"/>
    <x v="3"/>
    <n v="3.8849999999999998"/>
    <n v="15.54"/>
    <s v="Liberica"/>
    <x v="2"/>
    <x v="0"/>
  </r>
  <r>
    <s v="PSD-57291-590"/>
    <x v="256"/>
    <s v="37191-12203-MX"/>
    <s v="A-M-0.5"/>
    <n v="1"/>
    <x v="284"/>
    <s v=""/>
    <x v="0"/>
    <x v="2"/>
    <s v="M"/>
    <x v="1"/>
    <n v="6.75"/>
    <n v="6.75"/>
    <s v="Arabica"/>
    <x v="0"/>
    <x v="1"/>
  </r>
  <r>
    <s v="GOI-41472-677"/>
    <x v="3"/>
    <s v="16545-76328-JY"/>
    <s v="E-D-2.5"/>
    <n v="4"/>
    <x v="285"/>
    <s v="bpeattiegu@imgur.com"/>
    <x v="0"/>
    <x v="1"/>
    <s v="D"/>
    <x v="2"/>
    <n v="27.945"/>
    <n v="111.78"/>
    <s v="Excelsa"/>
    <x v="2"/>
    <x v="0"/>
  </r>
  <r>
    <s v="KTX-17944-494"/>
    <x v="257"/>
    <s v="74330-29286-RO"/>
    <s v="A-L-0.2"/>
    <n v="1"/>
    <x v="286"/>
    <s v="scouronneh3@mozilla.org"/>
    <x v="0"/>
    <x v="2"/>
    <s v="L"/>
    <x v="3"/>
    <n v="3.8849999999999998"/>
    <n v="3.8849999999999998"/>
    <s v="Arabica"/>
    <x v="1"/>
    <x v="0"/>
  </r>
  <r>
    <s v="RDM-99811-230"/>
    <x v="258"/>
    <s v="22349-47389-GY"/>
    <s v="L-M-0.2"/>
    <n v="5"/>
    <x v="287"/>
    <s v="acleyburngy@lycos.com"/>
    <x v="2"/>
    <x v="3"/>
    <s v="M"/>
    <x v="3"/>
    <n v="4.3650000000000002"/>
    <n v="21.825000000000003"/>
    <s v="Liberica"/>
    <x v="0"/>
    <x v="1"/>
  </r>
  <r>
    <s v="JTU-55897-581"/>
    <x v="259"/>
    <s v="70290-38099-GB"/>
    <s v="R-M-0.2"/>
    <n v="5"/>
    <x v="288"/>
    <s v=""/>
    <x v="0"/>
    <x v="0"/>
    <s v="M"/>
    <x v="3"/>
    <n v="2.9849999999999999"/>
    <n v="14.924999999999999"/>
    <s v="Robusta"/>
    <x v="0"/>
    <x v="1"/>
  </r>
  <r>
    <s v="CRK-07584-240"/>
    <x v="260"/>
    <s v="18741-72071-PP"/>
    <s v="A-M-1"/>
    <n v="3"/>
    <x v="289"/>
    <s v=""/>
    <x v="0"/>
    <x v="2"/>
    <s v="M"/>
    <x v="0"/>
    <n v="11.25"/>
    <n v="33.75"/>
    <s v="Arabica"/>
    <x v="0"/>
    <x v="0"/>
  </r>
  <r>
    <s v="MKE-75518-399"/>
    <x v="261"/>
    <s v="62588-82624-II"/>
    <s v="A-M-1"/>
    <n v="3"/>
    <x v="290"/>
    <s v="lflippellih4@github.io"/>
    <x v="2"/>
    <x v="2"/>
    <s v="M"/>
    <x v="0"/>
    <n v="11.25"/>
    <n v="33.75"/>
    <s v="Arabica"/>
    <x v="0"/>
    <x v="1"/>
  </r>
  <r>
    <s v="AEL-51169-725"/>
    <x v="262"/>
    <s v="37430-29579-HD"/>
    <s v="L-M-0.2"/>
    <n v="6"/>
    <x v="291"/>
    <s v="irenhardh6@i2i.jp"/>
    <x v="0"/>
    <x v="3"/>
    <s v="M"/>
    <x v="3"/>
    <n v="4.3650000000000002"/>
    <n v="26.19"/>
    <s v="Liberica"/>
    <x v="0"/>
    <x v="0"/>
  </r>
  <r>
    <s v="ZGM-83108-823"/>
    <x v="263"/>
    <s v="84132-22322-QT"/>
    <s v="E-L-1"/>
    <n v="1"/>
    <x v="292"/>
    <s v="jbush8@guardian.co.uk"/>
    <x v="1"/>
    <x v="1"/>
    <s v="L"/>
    <x v="0"/>
    <n v="14.85"/>
    <n v="14.85"/>
    <s v="Excelsa"/>
    <x v="1"/>
    <x v="1"/>
  </r>
  <r>
    <s v="JBP-78754-392"/>
    <x v="212"/>
    <s v="74330-29286-RO"/>
    <s v="E-M-2.5"/>
    <n v="6"/>
    <x v="286"/>
    <s v="bbyrdha@4shared.com"/>
    <x v="0"/>
    <x v="1"/>
    <s v="M"/>
    <x v="2"/>
    <n v="31.624999999999996"/>
    <n v="189.74999999999997"/>
    <s v="Excelsa"/>
    <x v="0"/>
    <x v="0"/>
  </r>
  <r>
    <s v="RNH-54912-747"/>
    <x v="187"/>
    <s v="37445-17791-NQ"/>
    <s v="R-M-0.5"/>
    <n v="1"/>
    <x v="293"/>
    <s v="dchardinhc@nhs.uk"/>
    <x v="0"/>
    <x v="0"/>
    <s v="M"/>
    <x v="1"/>
    <n v="5.97"/>
    <n v="5.97"/>
    <s v="Robusta"/>
    <x v="0"/>
    <x v="0"/>
  </r>
  <r>
    <s v="JDS-33440-914"/>
    <x v="248"/>
    <s v="58511-10548-ZU"/>
    <s v="R-M-1"/>
    <n v="3"/>
    <x v="294"/>
    <s v="wbernthhe@miitbeian.gov.cn"/>
    <x v="2"/>
    <x v="0"/>
    <s v="M"/>
    <x v="0"/>
    <n v="9.9499999999999993"/>
    <n v="29.849999999999998"/>
    <s v="Robusta"/>
    <x v="0"/>
    <x v="0"/>
  </r>
  <r>
    <s v="SYX-48878-182"/>
    <x v="264"/>
    <s v="47725-34771-FJ"/>
    <s v="R-D-1"/>
    <n v="5"/>
    <x v="295"/>
    <s v="fbrighamhg@blog.com"/>
    <x v="0"/>
    <x v="0"/>
    <s v="D"/>
    <x v="0"/>
    <n v="8.9499999999999993"/>
    <n v="44.75"/>
    <s v="Robusta"/>
    <x v="2"/>
    <x v="1"/>
  </r>
  <r>
    <s v="ZGD-94763-868"/>
    <x v="265"/>
    <s v="53086-67334-KT"/>
    <s v="E-L-2.5"/>
    <n v="1"/>
    <x v="296"/>
    <s v="cmeirhi@cnet.com"/>
    <x v="0"/>
    <x v="1"/>
    <s v="L"/>
    <x v="2"/>
    <n v="34.154999999999994"/>
    <n v="34.154999999999994"/>
    <s v="Excelsa"/>
    <x v="1"/>
    <x v="0"/>
  </r>
  <r>
    <s v="CZY-70361-485"/>
    <x v="266"/>
    <s v="83308-82257-UN"/>
    <s v="E-L-2.5"/>
    <n v="6"/>
    <x v="297"/>
    <s v="myoxenhk@google.com"/>
    <x v="1"/>
    <x v="1"/>
    <s v="L"/>
    <x v="2"/>
    <n v="34.154999999999994"/>
    <n v="204.92999999999995"/>
    <s v="Excelsa"/>
    <x v="1"/>
    <x v="1"/>
  </r>
  <r>
    <s v="RJR-12175-899"/>
    <x v="267"/>
    <s v="37274-08534-FM"/>
    <s v="E-D-0.5"/>
    <n v="3"/>
    <x v="298"/>
    <s v="luttermarehm@engadget.com"/>
    <x v="0"/>
    <x v="1"/>
    <s v="D"/>
    <x v="1"/>
    <n v="7.29"/>
    <n v="21.87"/>
    <s v="Excelsa"/>
    <x v="2"/>
    <x v="1"/>
  </r>
  <r>
    <s v="ELB-07929-407"/>
    <x v="204"/>
    <s v="54004-04664-AA"/>
    <s v="A-M-2.5"/>
    <n v="2"/>
    <x v="299"/>
    <s v="cwinchcombeho@jiathis.com"/>
    <x v="0"/>
    <x v="2"/>
    <s v="M"/>
    <x v="2"/>
    <n v="25.874999999999996"/>
    <n v="51.749999999999993"/>
    <s v="Arabica"/>
    <x v="0"/>
    <x v="0"/>
  </r>
  <r>
    <s v="UJQ-54441-340"/>
    <x v="268"/>
    <s v="26822-19510-SD"/>
    <s v="E-M-0.2"/>
    <n v="2"/>
    <x v="300"/>
    <s v=""/>
    <x v="0"/>
    <x v="1"/>
    <s v="M"/>
    <x v="3"/>
    <n v="4.125"/>
    <n v="8.25"/>
    <s v="Excelsa"/>
    <x v="0"/>
    <x v="0"/>
  </r>
  <r>
    <s v="UJQ-54441-340"/>
    <x v="268"/>
    <s v="26822-19510-SD"/>
    <s v="A-L-0.2"/>
    <n v="5"/>
    <x v="300"/>
    <s v="jcapeyhr@bravesites.com"/>
    <x v="0"/>
    <x v="2"/>
    <s v="L"/>
    <x v="3"/>
    <n v="3.8849999999999998"/>
    <n v="19.424999999999997"/>
    <s v="Arabica"/>
    <x v="1"/>
    <x v="0"/>
  </r>
  <r>
    <s v="OWY-43108-475"/>
    <x v="269"/>
    <s v="06432-73165-ML"/>
    <s v="A-M-0.2"/>
    <n v="6"/>
    <x v="301"/>
    <s v="mbaistowhu@i2i.jp"/>
    <x v="1"/>
    <x v="2"/>
    <s v="M"/>
    <x v="3"/>
    <n v="3.375"/>
    <n v="20.25"/>
    <s v="Arabica"/>
    <x v="0"/>
    <x v="0"/>
  </r>
  <r>
    <s v="GNO-91911-159"/>
    <x v="145"/>
    <s v="96503-31833-CW"/>
    <s v="L-D-0.5"/>
    <n v="3"/>
    <x v="302"/>
    <s v=""/>
    <x v="1"/>
    <x v="3"/>
    <s v="D"/>
    <x v="1"/>
    <n v="7.77"/>
    <n v="23.31"/>
    <s v="Liberica"/>
    <x v="2"/>
    <x v="1"/>
  </r>
  <r>
    <s v="CNY-06284-066"/>
    <x v="270"/>
    <s v="63985-64148-MG"/>
    <s v="E-D-0.2"/>
    <n v="5"/>
    <x v="303"/>
    <s v="drallinhy@howstuffworks.com"/>
    <x v="0"/>
    <x v="1"/>
    <s v="D"/>
    <x v="3"/>
    <n v="3.645"/>
    <n v="18.225000000000001"/>
    <s v="Excelsa"/>
    <x v="2"/>
    <x v="0"/>
  </r>
  <r>
    <s v="OQS-46321-904"/>
    <x v="271"/>
    <s v="19597-91185-CM"/>
    <s v="E-M-1"/>
    <n v="1"/>
    <x v="304"/>
    <s v="tmathonneti0@google.co.jp"/>
    <x v="0"/>
    <x v="1"/>
    <s v="M"/>
    <x v="0"/>
    <n v="13.75"/>
    <n v="13.75"/>
    <s v="Excelsa"/>
    <x v="0"/>
    <x v="1"/>
  </r>
  <r>
    <s v="IBW-87442-480"/>
    <x v="272"/>
    <s v="79814-23626-JR"/>
    <s v="A-L-2.5"/>
    <n v="1"/>
    <x v="305"/>
    <s v="cstebbingsi2@drupal.org"/>
    <x v="0"/>
    <x v="2"/>
    <s v="L"/>
    <x v="2"/>
    <n v="29.784999999999997"/>
    <n v="29.784999999999997"/>
    <s v="Arabica"/>
    <x v="1"/>
    <x v="0"/>
  </r>
  <r>
    <s v="DGZ-82537-477"/>
    <x v="252"/>
    <s v="43439-94003-DW"/>
    <s v="R-D-1"/>
    <n v="5"/>
    <x v="306"/>
    <s v="rzywickii4@ifeng.com"/>
    <x v="0"/>
    <x v="0"/>
    <s v="D"/>
    <x v="0"/>
    <n v="8.9499999999999993"/>
    <n v="44.75"/>
    <s v="Robusta"/>
    <x v="2"/>
    <x v="1"/>
  </r>
  <r>
    <s v="LPS-39089-432"/>
    <x v="273"/>
    <s v="97655-45555-LI"/>
    <s v="R-D-1"/>
    <n v="5"/>
    <x v="307"/>
    <s v="mmalloyi6@seattletimes.com"/>
    <x v="0"/>
    <x v="0"/>
    <s v="D"/>
    <x v="0"/>
    <n v="8.9499999999999993"/>
    <n v="44.75"/>
    <s v="Robusta"/>
    <x v="2"/>
    <x v="0"/>
  </r>
  <r>
    <s v="MQU-86100-929"/>
    <x v="274"/>
    <s v="64418-01720-VW"/>
    <s v="L-L-0.5"/>
    <n v="4"/>
    <x v="308"/>
    <s v="sjennaroyi8@purevolume.com"/>
    <x v="0"/>
    <x v="3"/>
    <s v="L"/>
    <x v="1"/>
    <n v="9.51"/>
    <n v="38.04"/>
    <s v="Liberica"/>
    <x v="1"/>
    <x v="0"/>
  </r>
  <r>
    <s v="XUR-14132-391"/>
    <x v="275"/>
    <s v="96836-09258-RI"/>
    <s v="R-D-0.5"/>
    <n v="4"/>
    <x v="309"/>
    <s v=""/>
    <x v="0"/>
    <x v="0"/>
    <s v="D"/>
    <x v="1"/>
    <n v="5.3699999999999992"/>
    <n v="21.479999999999997"/>
    <s v="Robusta"/>
    <x v="2"/>
    <x v="0"/>
  </r>
  <r>
    <s v="OVI-27064-381"/>
    <x v="276"/>
    <s v="37274-08534-FM"/>
    <s v="R-D-0.5"/>
    <n v="3"/>
    <x v="298"/>
    <s v="achillhz@epa.gov"/>
    <x v="0"/>
    <x v="0"/>
    <s v="D"/>
    <x v="1"/>
    <n v="5.3699999999999992"/>
    <n v="16.11"/>
    <s v="Robusta"/>
    <x v="2"/>
    <x v="1"/>
  </r>
  <r>
    <s v="SHP-17012-870"/>
    <x v="277"/>
    <s v="69529-07533-CV"/>
    <s v="R-M-2.5"/>
    <n v="1"/>
    <x v="310"/>
    <s v="smosebyie@stanford.edu"/>
    <x v="0"/>
    <x v="0"/>
    <s v="M"/>
    <x v="2"/>
    <n v="22.884999999999998"/>
    <n v="22.884999999999998"/>
    <s v="Robusta"/>
    <x v="0"/>
    <x v="0"/>
  </r>
  <r>
    <s v="FDY-03414-903"/>
    <x v="278"/>
    <s v="94840-49457-UD"/>
    <s v="A-D-0.5"/>
    <n v="3"/>
    <x v="311"/>
    <s v="isjostromig@pbs.org"/>
    <x v="0"/>
    <x v="2"/>
    <s v="D"/>
    <x v="1"/>
    <n v="5.97"/>
    <n v="17.91"/>
    <s v="Arabica"/>
    <x v="2"/>
    <x v="0"/>
  </r>
  <r>
    <s v="WXT-85291-143"/>
    <x v="279"/>
    <s v="81414-81273-DK"/>
    <s v="R-M-0.5"/>
    <n v="4"/>
    <x v="312"/>
    <s v="jbranchettii@bravesites.com"/>
    <x v="0"/>
    <x v="0"/>
    <s v="M"/>
    <x v="1"/>
    <n v="5.97"/>
    <n v="23.88"/>
    <s v="Robusta"/>
    <x v="0"/>
    <x v="0"/>
  </r>
  <r>
    <s v="QNP-18893-547"/>
    <x v="280"/>
    <s v="76930-61689-CH"/>
    <s v="R-L-1"/>
    <n v="5"/>
    <x v="313"/>
    <s v="jmillettik@addtoany.com"/>
    <x v="0"/>
    <x v="0"/>
    <s v="L"/>
    <x v="0"/>
    <n v="11.95"/>
    <n v="59.75"/>
    <s v="Robusta"/>
    <x v="1"/>
    <x v="1"/>
  </r>
  <r>
    <s v="DOH-92927-530"/>
    <x v="281"/>
    <s v="12839-56537-TQ"/>
    <s v="L-L-0.2"/>
    <n v="6"/>
    <x v="314"/>
    <s v="cweatherallim@toplist.cz"/>
    <x v="0"/>
    <x v="3"/>
    <s v="L"/>
    <x v="3"/>
    <n v="4.7549999999999999"/>
    <n v="28.53"/>
    <s v="Liberica"/>
    <x v="1"/>
    <x v="0"/>
  </r>
  <r>
    <s v="HGJ-82768-173"/>
    <x v="282"/>
    <s v="62741-01322-HU"/>
    <s v="A-M-1"/>
    <n v="4"/>
    <x v="315"/>
    <s v="limasonio@discuz.net"/>
    <x v="2"/>
    <x v="2"/>
    <s v="M"/>
    <x v="0"/>
    <n v="11.25"/>
    <n v="45"/>
    <s v="Arabica"/>
    <x v="0"/>
    <x v="1"/>
  </r>
  <r>
    <s v="YPT-95383-088"/>
    <x v="283"/>
    <s v="43439-94003-DW"/>
    <s v="E-D-2.5"/>
    <n v="2"/>
    <x v="306"/>
    <s v="cwassif@prweb.com"/>
    <x v="0"/>
    <x v="1"/>
    <s v="D"/>
    <x v="2"/>
    <n v="27.945"/>
    <n v="55.89"/>
    <s v="Excelsa"/>
    <x v="2"/>
    <x v="1"/>
  </r>
  <r>
    <s v="OYH-16533-767"/>
    <x v="284"/>
    <s v="44932-34838-RM"/>
    <s v="E-L-1"/>
    <n v="4"/>
    <x v="316"/>
    <s v=""/>
    <x v="0"/>
    <x v="1"/>
    <s v="L"/>
    <x v="0"/>
    <n v="14.85"/>
    <n v="59.4"/>
    <s v="Excelsa"/>
    <x v="1"/>
    <x v="1"/>
  </r>
  <r>
    <s v="DWW-28642-549"/>
    <x v="285"/>
    <s v="91181-19412-RQ"/>
    <s v="E-D-0.2"/>
    <n v="2"/>
    <x v="317"/>
    <s v="mmiddisiu@dmoz.org"/>
    <x v="0"/>
    <x v="1"/>
    <s v="D"/>
    <x v="3"/>
    <n v="3.645"/>
    <n v="7.29"/>
    <s v="Excelsa"/>
    <x v="2"/>
    <x v="0"/>
  </r>
  <r>
    <s v="CGO-79583-871"/>
    <x v="286"/>
    <s v="37182-54930-XC"/>
    <s v="E-D-0.5"/>
    <n v="1"/>
    <x v="318"/>
    <s v="agoldieiw@goo.gl"/>
    <x v="0"/>
    <x v="1"/>
    <s v="D"/>
    <x v="1"/>
    <n v="7.29"/>
    <n v="7.29"/>
    <s v="Excelsa"/>
    <x v="2"/>
    <x v="0"/>
  </r>
  <r>
    <s v="TFY-52090-386"/>
    <x v="287"/>
    <s v="08613-17327-XT"/>
    <s v="E-L-0.5"/>
    <n v="2"/>
    <x v="319"/>
    <s v="lbenediktovichiy@wunderground.com"/>
    <x v="0"/>
    <x v="1"/>
    <s v="L"/>
    <x v="1"/>
    <n v="8.91"/>
    <n v="17.82"/>
    <s v="Excelsa"/>
    <x v="1"/>
    <x v="1"/>
  </r>
  <r>
    <s v="TFY-52090-386"/>
    <x v="287"/>
    <s v="08613-17327-XT"/>
    <s v="L-D-0.5"/>
    <n v="5"/>
    <x v="319"/>
    <s v="tjacobovitziz@cbc.ca"/>
    <x v="0"/>
    <x v="3"/>
    <s v="D"/>
    <x v="1"/>
    <n v="7.77"/>
    <n v="38.849999999999994"/>
    <s v="Liberica"/>
    <x v="2"/>
    <x v="1"/>
  </r>
  <r>
    <s v="NYY-73968-094"/>
    <x v="288"/>
    <s v="70451-38048-AH"/>
    <s v="R-D-0.5"/>
    <n v="6"/>
    <x v="320"/>
    <s v="dshortallj2@wikipedia.org"/>
    <x v="0"/>
    <x v="0"/>
    <s v="D"/>
    <x v="1"/>
    <n v="5.3699999999999992"/>
    <n v="32.22"/>
    <s v="Robusta"/>
    <x v="2"/>
    <x v="1"/>
  </r>
  <r>
    <s v="QEY-71761-460"/>
    <x v="250"/>
    <s v="35442-75769-PL"/>
    <s v="R-M-1"/>
    <n v="2"/>
    <x v="321"/>
    <s v="kgrinstedj4@google.com.br"/>
    <x v="1"/>
    <x v="0"/>
    <s v="M"/>
    <x v="0"/>
    <n v="9.9499999999999993"/>
    <n v="19.899999999999999"/>
    <s v="Robusta"/>
    <x v="0"/>
    <x v="0"/>
  </r>
  <r>
    <s v="GKQ-82603-910"/>
    <x v="289"/>
    <s v="83737-56117-JE"/>
    <s v="R-L-1"/>
    <n v="5"/>
    <x v="322"/>
    <s v=""/>
    <x v="0"/>
    <x v="0"/>
    <s v="L"/>
    <x v="0"/>
    <n v="11.95"/>
    <n v="59.75"/>
    <s v="Robusta"/>
    <x v="1"/>
    <x v="1"/>
  </r>
  <r>
    <s v="IOB-32673-745"/>
    <x v="290"/>
    <s v="07095-81281-NJ"/>
    <s v="A-L-0.5"/>
    <n v="3"/>
    <x v="323"/>
    <s v="aweinmannj8@shinystat.com"/>
    <x v="0"/>
    <x v="2"/>
    <s v="L"/>
    <x v="1"/>
    <n v="7.77"/>
    <n v="23.31"/>
    <s v="Arabica"/>
    <x v="1"/>
    <x v="0"/>
  </r>
  <r>
    <s v="YAU-98893-150"/>
    <x v="291"/>
    <s v="77043-48851-HG"/>
    <s v="L-M-1"/>
    <n v="3"/>
    <x v="324"/>
    <s v="rdeaconsonja@archive.org"/>
    <x v="0"/>
    <x v="3"/>
    <s v="M"/>
    <x v="0"/>
    <n v="14.55"/>
    <n v="43.650000000000006"/>
    <s v="Liberica"/>
    <x v="0"/>
    <x v="1"/>
  </r>
  <r>
    <s v="XNM-14163-951"/>
    <x v="292"/>
    <s v="78224-60622-KH"/>
    <s v="E-L-2.5"/>
    <n v="6"/>
    <x v="325"/>
    <s v="jbluckjc@imageshack.us"/>
    <x v="0"/>
    <x v="1"/>
    <s v="L"/>
    <x v="2"/>
    <n v="34.154999999999994"/>
    <n v="204.92999999999995"/>
    <s v="Excelsa"/>
    <x v="1"/>
    <x v="1"/>
  </r>
  <r>
    <s v="JPB-45297-000"/>
    <x v="293"/>
    <s v="83105-86631-IU"/>
    <s v="R-L-0.2"/>
    <n v="4"/>
    <x v="326"/>
    <s v="jdymokeje@prnewswire.com"/>
    <x v="0"/>
    <x v="0"/>
    <s v="L"/>
    <x v="3"/>
    <n v="3.5849999999999995"/>
    <n v="14.339999999999998"/>
    <s v="Robusta"/>
    <x v="1"/>
    <x v="1"/>
  </r>
  <r>
    <s v="MOU-74341-266"/>
    <x v="294"/>
    <s v="99358-65399-TC"/>
    <s v="A-D-0.5"/>
    <n v="4"/>
    <x v="327"/>
    <s v="bguddejg@dailymotion.com"/>
    <x v="0"/>
    <x v="2"/>
    <s v="D"/>
    <x v="1"/>
    <n v="5.97"/>
    <n v="23.88"/>
    <s v="Arabica"/>
    <x v="2"/>
    <x v="1"/>
  </r>
  <r>
    <s v="DHJ-87461-571"/>
    <x v="295"/>
    <s v="94525-76037-JP"/>
    <s v="A-M-1"/>
    <n v="2"/>
    <x v="328"/>
    <s v="vdunningji@independent.co.uk"/>
    <x v="0"/>
    <x v="2"/>
    <s v="M"/>
    <x v="0"/>
    <n v="11.25"/>
    <n v="22.5"/>
    <s v="Arabica"/>
    <x v="0"/>
    <x v="1"/>
  </r>
  <r>
    <s v="DKM-97676-850"/>
    <x v="296"/>
    <s v="43439-94003-DW"/>
    <s v="E-D-0.5"/>
    <n v="5"/>
    <x v="306"/>
    <s v="mmiddisiu@dmoz.org"/>
    <x v="0"/>
    <x v="1"/>
    <s v="D"/>
    <x v="1"/>
    <n v="7.29"/>
    <n v="36.450000000000003"/>
    <s v="Excelsa"/>
    <x v="2"/>
    <x v="1"/>
  </r>
  <r>
    <s v="UEB-09112-118"/>
    <x v="297"/>
    <s v="82718-93677-XO"/>
    <s v="A-M-0.5"/>
    <n v="4"/>
    <x v="329"/>
    <s v="bfallowesjm@purevolume.com"/>
    <x v="0"/>
    <x v="2"/>
    <s v="M"/>
    <x v="1"/>
    <n v="6.75"/>
    <n v="27"/>
    <s v="Arabica"/>
    <x v="0"/>
    <x v="0"/>
  </r>
  <r>
    <s v="ORZ-67699-748"/>
    <x v="298"/>
    <s v="44708-78241-DF"/>
    <s v="A-M-2.5"/>
    <n v="6"/>
    <x v="330"/>
    <s v="sdejo@newsvine.com"/>
    <x v="0"/>
    <x v="2"/>
    <s v="M"/>
    <x v="2"/>
    <n v="25.874999999999996"/>
    <n v="155.24999999999997"/>
    <s v="Arabica"/>
    <x v="0"/>
    <x v="1"/>
  </r>
  <r>
    <s v="JXP-28398-485"/>
    <x v="299"/>
    <s v="23039-93032-FN"/>
    <s v="A-D-2.5"/>
    <n v="5"/>
    <x v="331"/>
    <s v="scountjq@nba.com"/>
    <x v="0"/>
    <x v="2"/>
    <s v="D"/>
    <x v="2"/>
    <n v="22.884999999999998"/>
    <n v="114.42499999999998"/>
    <s v="Arabica"/>
    <x v="2"/>
    <x v="0"/>
  </r>
  <r>
    <s v="WWH-92259-198"/>
    <x v="300"/>
    <s v="35256-12529-FT"/>
    <s v="L-D-1"/>
    <n v="4"/>
    <x v="332"/>
    <s v=""/>
    <x v="0"/>
    <x v="3"/>
    <s v="D"/>
    <x v="0"/>
    <n v="12.95"/>
    <n v="51.8"/>
    <s v="Liberica"/>
    <x v="2"/>
    <x v="0"/>
  </r>
  <r>
    <s v="FLR-82914-153"/>
    <x v="301"/>
    <s v="86100-33488-WP"/>
    <s v="A-M-2.5"/>
    <n v="6"/>
    <x v="333"/>
    <s v="aplluju@dagondesign.com"/>
    <x v="0"/>
    <x v="2"/>
    <s v="M"/>
    <x v="2"/>
    <n v="25.874999999999996"/>
    <n v="155.24999999999997"/>
    <s v="Arabica"/>
    <x v="0"/>
    <x v="1"/>
  </r>
  <r>
    <s v="AMB-93600-000"/>
    <x v="302"/>
    <s v="64435-53100-WM"/>
    <s v="A-L-2.5"/>
    <n v="1"/>
    <x v="334"/>
    <s v="sgreedyerjw@parallels.com"/>
    <x v="0"/>
    <x v="2"/>
    <s v="L"/>
    <x v="2"/>
    <n v="29.784999999999997"/>
    <n v="29.784999999999997"/>
    <s v="Arabica"/>
    <x v="1"/>
    <x v="1"/>
  </r>
  <r>
    <s v="FEP-36895-658"/>
    <x v="303"/>
    <s v="44699-43836-UH"/>
    <s v="R-L-0.2"/>
    <n v="6"/>
    <x v="335"/>
    <s v="dheafordjy@twitpic.com"/>
    <x v="2"/>
    <x v="0"/>
    <s v="L"/>
    <x v="3"/>
    <n v="3.5849999999999995"/>
    <n v="21.509999999999998"/>
    <s v="Robusta"/>
    <x v="1"/>
    <x v="1"/>
  </r>
  <r>
    <s v="RXW-91413-276"/>
    <x v="304"/>
    <s v="29588-35679-RG"/>
    <s v="R-D-2.5"/>
    <n v="2"/>
    <x v="336"/>
    <s v="rcrookshanksk0@unc.edu"/>
    <x v="0"/>
    <x v="0"/>
    <s v="D"/>
    <x v="2"/>
    <n v="20.584999999999997"/>
    <n v="41.169999999999995"/>
    <s v="Robusta"/>
    <x v="2"/>
    <x v="1"/>
  </r>
  <r>
    <s v="RXW-91413-276"/>
    <x v="304"/>
    <s v="29588-35679-RG"/>
    <s v="R-M-0.5"/>
    <n v="1"/>
    <x v="336"/>
    <s v="nleakek1@cmu.edu"/>
    <x v="0"/>
    <x v="0"/>
    <s v="M"/>
    <x v="1"/>
    <n v="5.97"/>
    <n v="5.97"/>
    <s v="Robusta"/>
    <x v="0"/>
    <x v="1"/>
  </r>
  <r>
    <s v="SDB-77492-188"/>
    <x v="305"/>
    <s v="64815-54078-HH"/>
    <s v="E-L-1"/>
    <n v="5"/>
    <x v="337"/>
    <s v=""/>
    <x v="0"/>
    <x v="1"/>
    <s v="L"/>
    <x v="0"/>
    <n v="14.85"/>
    <n v="74.25"/>
    <s v="Excelsa"/>
    <x v="1"/>
    <x v="0"/>
  </r>
  <r>
    <s v="RZN-65182-395"/>
    <x v="196"/>
    <s v="59572-41990-XY"/>
    <s v="L-M-1"/>
    <n v="6"/>
    <x v="338"/>
    <s v=""/>
    <x v="0"/>
    <x v="3"/>
    <s v="M"/>
    <x v="0"/>
    <n v="14.55"/>
    <n v="87.300000000000011"/>
    <s v="Liberica"/>
    <x v="0"/>
    <x v="1"/>
  </r>
  <r>
    <s v="HDQ-86094-507"/>
    <x v="110"/>
    <s v="32481-61533-ZJ"/>
    <s v="E-D-1"/>
    <n v="6"/>
    <x v="339"/>
    <s v="rhuscroftk8@jimdo.com"/>
    <x v="0"/>
    <x v="1"/>
    <s v="D"/>
    <x v="0"/>
    <n v="12.15"/>
    <n v="72.900000000000006"/>
    <s v="Excelsa"/>
    <x v="2"/>
    <x v="0"/>
  </r>
  <r>
    <s v="YXO-79631-417"/>
    <x v="24"/>
    <s v="31587-92570-HL"/>
    <s v="L-D-0.5"/>
    <n v="1"/>
    <x v="340"/>
    <s v="arudramka@prnewswire.com"/>
    <x v="0"/>
    <x v="3"/>
    <s v="D"/>
    <x v="1"/>
    <n v="7.77"/>
    <n v="7.77"/>
    <s v="Liberica"/>
    <x v="2"/>
    <x v="1"/>
  </r>
  <r>
    <s v="SNF-57032-096"/>
    <x v="306"/>
    <s v="93832-04799-ID"/>
    <s v="E-D-0.5"/>
    <n v="6"/>
    <x v="341"/>
    <s v="jmahakc@cyberchimps.com"/>
    <x v="0"/>
    <x v="1"/>
    <s v="D"/>
    <x v="1"/>
    <n v="7.29"/>
    <n v="43.74"/>
    <s v="Excelsa"/>
    <x v="2"/>
    <x v="1"/>
  </r>
  <r>
    <s v="DGL-29648-995"/>
    <x v="307"/>
    <s v="59367-30821-ZQ"/>
    <s v="L-M-0.2"/>
    <n v="2"/>
    <x v="342"/>
    <s v=""/>
    <x v="0"/>
    <x v="3"/>
    <s v="M"/>
    <x v="3"/>
    <n v="4.3650000000000002"/>
    <n v="8.73"/>
    <s v="Liberica"/>
    <x v="0"/>
    <x v="0"/>
  </r>
  <r>
    <s v="GPU-65651-504"/>
    <x v="308"/>
    <s v="83947-45528-ET"/>
    <s v="E-M-2.5"/>
    <n v="2"/>
    <x v="343"/>
    <s v="jtoyekg@pinterest.com"/>
    <x v="0"/>
    <x v="1"/>
    <s v="M"/>
    <x v="2"/>
    <n v="31.624999999999996"/>
    <n v="63.249999999999993"/>
    <s v="Excelsa"/>
    <x v="0"/>
    <x v="1"/>
  </r>
  <r>
    <s v="OJU-34452-896"/>
    <x v="309"/>
    <s v="60799-92593-CX"/>
    <s v="E-L-0.5"/>
    <n v="1"/>
    <x v="344"/>
    <s v="nvigrasski@ezinearticles.com"/>
    <x v="0"/>
    <x v="1"/>
    <s v="L"/>
    <x v="1"/>
    <n v="8.91"/>
    <n v="8.91"/>
    <s v="Excelsa"/>
    <x v="1"/>
    <x v="0"/>
  </r>
  <r>
    <s v="GZS-50547-887"/>
    <x v="310"/>
    <s v="61600-55136-UM"/>
    <s v="E-D-1"/>
    <n v="2"/>
    <x v="345"/>
    <s v="kcragellkk@google.com"/>
    <x v="0"/>
    <x v="1"/>
    <s v="D"/>
    <x v="0"/>
    <n v="12.15"/>
    <n v="24.3"/>
    <s v="Excelsa"/>
    <x v="2"/>
    <x v="0"/>
  </r>
  <r>
    <s v="ESR-54041-053"/>
    <x v="311"/>
    <s v="59771-90302-OF"/>
    <s v="A-L-0.5"/>
    <n v="6"/>
    <x v="346"/>
    <s v="rlidgeykm@vimeo.com"/>
    <x v="0"/>
    <x v="2"/>
    <s v="L"/>
    <x v="1"/>
    <n v="7.77"/>
    <n v="46.62"/>
    <s v="Arabica"/>
    <x v="1"/>
    <x v="0"/>
  </r>
  <r>
    <s v="OGD-10781-526"/>
    <x v="132"/>
    <s v="16880-78077-FB"/>
    <s v="R-L-0.5"/>
    <n v="6"/>
    <x v="347"/>
    <s v=""/>
    <x v="0"/>
    <x v="0"/>
    <s v="L"/>
    <x v="1"/>
    <n v="7.169999999999999"/>
    <n v="43.019999999999996"/>
    <s v="Robusta"/>
    <x v="1"/>
    <x v="1"/>
  </r>
  <r>
    <s v="FVH-29271-315"/>
    <x v="312"/>
    <s v="74415-50873-FC"/>
    <s v="A-D-0.5"/>
    <n v="3"/>
    <x v="348"/>
    <s v="holliffkq@sciencedirect.com"/>
    <x v="1"/>
    <x v="2"/>
    <s v="D"/>
    <x v="1"/>
    <n v="5.97"/>
    <n v="17.91"/>
    <s v="Arabica"/>
    <x v="2"/>
    <x v="0"/>
  </r>
  <r>
    <s v="BNZ-20544-633"/>
    <x v="313"/>
    <s v="31798-95707-NR"/>
    <s v="L-L-0.5"/>
    <n v="4"/>
    <x v="349"/>
    <s v="feshmadeks@umn.edu"/>
    <x v="0"/>
    <x v="3"/>
    <s v="L"/>
    <x v="1"/>
    <n v="9.51"/>
    <n v="38.04"/>
    <s v="Liberica"/>
    <x v="1"/>
    <x v="0"/>
  </r>
  <r>
    <s v="FUX-85791-078"/>
    <x v="156"/>
    <s v="59122-08794-WT"/>
    <s v="A-M-0.2"/>
    <n v="2"/>
    <x v="350"/>
    <s v=""/>
    <x v="0"/>
    <x v="2"/>
    <s v="M"/>
    <x v="3"/>
    <n v="3.375"/>
    <n v="6.75"/>
    <s v="Arabica"/>
    <x v="0"/>
    <x v="0"/>
  </r>
  <r>
    <s v="YXP-20078-116"/>
    <x v="314"/>
    <s v="37238-52421-JJ"/>
    <s v="R-M-0.5"/>
    <n v="1"/>
    <x v="351"/>
    <s v="bsterkekw@biblegateway.com"/>
    <x v="0"/>
    <x v="0"/>
    <s v="M"/>
    <x v="1"/>
    <n v="5.97"/>
    <n v="5.97"/>
    <s v="Robusta"/>
    <x v="0"/>
    <x v="0"/>
  </r>
  <r>
    <s v="VQV-59984-866"/>
    <x v="315"/>
    <s v="48854-01899-FN"/>
    <s v="R-D-0.2"/>
    <n v="3"/>
    <x v="352"/>
    <s v="ptraiteky@huffingtonpost.com"/>
    <x v="1"/>
    <x v="0"/>
    <s v="D"/>
    <x v="3"/>
    <n v="2.6849999999999996"/>
    <n v="8.0549999999999997"/>
    <s v="Robusta"/>
    <x v="2"/>
    <x v="1"/>
  </r>
  <r>
    <s v="JEH-37276-048"/>
    <x v="316"/>
    <s v="80896-38819-DW"/>
    <s v="A-L-0.5"/>
    <n v="3"/>
    <x v="353"/>
    <s v="fsulmanl0@washington.edu"/>
    <x v="1"/>
    <x v="2"/>
    <s v="L"/>
    <x v="1"/>
    <n v="7.77"/>
    <n v="23.31"/>
    <s v="Arabica"/>
    <x v="1"/>
    <x v="0"/>
  </r>
  <r>
    <s v="VYD-28555-589"/>
    <x v="317"/>
    <s v="29814-01459-RC"/>
    <s v="R-L-0.5"/>
    <n v="6"/>
    <x v="354"/>
    <s v="lnardonil2@hao123.com"/>
    <x v="2"/>
    <x v="0"/>
    <s v="L"/>
    <x v="1"/>
    <n v="7.169999999999999"/>
    <n v="43.019999999999996"/>
    <s v="Robusta"/>
    <x v="1"/>
    <x v="0"/>
  </r>
  <r>
    <s v="WUG-76466-650"/>
    <x v="318"/>
    <s v="43439-94003-DW"/>
    <s v="L-D-0.5"/>
    <n v="3"/>
    <x v="306"/>
    <s v="bfallowesjm@purevolume.com"/>
    <x v="0"/>
    <x v="3"/>
    <s v="D"/>
    <x v="1"/>
    <n v="7.77"/>
    <n v="23.31"/>
    <s v="Liberica"/>
    <x v="2"/>
    <x v="1"/>
  </r>
  <r>
    <s v="RJV-08261-583"/>
    <x v="182"/>
    <s v="48497-29281-FE"/>
    <s v="A-D-0.2"/>
    <n v="5"/>
    <x v="355"/>
    <s v="sdanilchikl6@mit.edu"/>
    <x v="0"/>
    <x v="2"/>
    <s v="D"/>
    <x v="3"/>
    <n v="2.9849999999999999"/>
    <n v="14.924999999999999"/>
    <s v="Arabica"/>
    <x v="2"/>
    <x v="0"/>
  </r>
  <r>
    <s v="PMR-56062-609"/>
    <x v="319"/>
    <s v="43605-12616-YH"/>
    <s v="E-D-0.5"/>
    <n v="3"/>
    <x v="356"/>
    <s v="bfolomkinl8@yolasite.com"/>
    <x v="0"/>
    <x v="1"/>
    <s v="D"/>
    <x v="1"/>
    <n v="7.29"/>
    <n v="21.87"/>
    <s v="Excelsa"/>
    <x v="2"/>
    <x v="1"/>
  </r>
  <r>
    <s v="XLD-12920-505"/>
    <x v="320"/>
    <s v="21907-75962-VB"/>
    <s v="E-L-0.5"/>
    <n v="6"/>
    <x v="357"/>
    <s v="rdela@usa.gov"/>
    <x v="0"/>
    <x v="1"/>
    <s v="L"/>
    <x v="1"/>
    <n v="8.91"/>
    <n v="53.46"/>
    <s v="Excelsa"/>
    <x v="1"/>
    <x v="0"/>
  </r>
  <r>
    <s v="UBW-50312-037"/>
    <x v="321"/>
    <s v="69503-12127-YD"/>
    <s v="A-L-2.5"/>
    <n v="4"/>
    <x v="358"/>
    <s v=""/>
    <x v="0"/>
    <x v="2"/>
    <s v="L"/>
    <x v="2"/>
    <n v="29.784999999999997"/>
    <n v="119.13999999999999"/>
    <s v="Arabica"/>
    <x v="1"/>
    <x v="1"/>
  </r>
  <r>
    <s v="QAW-05889-019"/>
    <x v="322"/>
    <s v="68810-07329-EU"/>
    <s v="L-M-0.5"/>
    <n v="5"/>
    <x v="359"/>
    <s v="mbrimilcombele@cnn.com"/>
    <x v="0"/>
    <x v="3"/>
    <s v="M"/>
    <x v="1"/>
    <n v="8.73"/>
    <n v="43.650000000000006"/>
    <s v="Liberica"/>
    <x v="0"/>
    <x v="0"/>
  </r>
  <r>
    <s v="EPT-12715-397"/>
    <x v="128"/>
    <s v="08478-75251-OG"/>
    <s v="A-D-0.2"/>
    <n v="6"/>
    <x v="360"/>
    <s v=""/>
    <x v="0"/>
    <x v="2"/>
    <s v="D"/>
    <x v="3"/>
    <n v="2.9849999999999999"/>
    <n v="17.91"/>
    <s v="Arabica"/>
    <x v="2"/>
    <x v="0"/>
  </r>
  <r>
    <s v="DHT-93810-053"/>
    <x v="323"/>
    <s v="17005-82030-EA"/>
    <s v="E-L-1"/>
    <n v="5"/>
    <x v="361"/>
    <s v=""/>
    <x v="0"/>
    <x v="1"/>
    <s v="L"/>
    <x v="0"/>
    <n v="14.85"/>
    <n v="74.25"/>
    <s v="Excelsa"/>
    <x v="1"/>
    <x v="0"/>
  </r>
  <r>
    <s v="DMY-96037-963"/>
    <x v="324"/>
    <s v="42179-95059-DO"/>
    <s v="L-D-0.2"/>
    <n v="3"/>
    <x v="362"/>
    <s v="jdeehanlk@about.me"/>
    <x v="0"/>
    <x v="3"/>
    <s v="D"/>
    <x v="3"/>
    <n v="3.8849999999999998"/>
    <n v="11.654999999999999"/>
    <s v="Liberica"/>
    <x v="2"/>
    <x v="0"/>
  </r>
  <r>
    <s v="MBM-55936-917"/>
    <x v="325"/>
    <s v="55989-39849-WO"/>
    <s v="L-D-0.5"/>
    <n v="3"/>
    <x v="363"/>
    <s v="dmatonlm@utexas.edu"/>
    <x v="0"/>
    <x v="3"/>
    <s v="D"/>
    <x v="1"/>
    <n v="7.77"/>
    <n v="23.31"/>
    <s v="Liberica"/>
    <x v="2"/>
    <x v="0"/>
  </r>
  <r>
    <s v="TPA-93614-840"/>
    <x v="326"/>
    <s v="28932-49296-TM"/>
    <s v="E-D-0.5"/>
    <n v="2"/>
    <x v="364"/>
    <s v=""/>
    <x v="0"/>
    <x v="1"/>
    <s v="D"/>
    <x v="1"/>
    <n v="7.29"/>
    <n v="14.58"/>
    <s v="Excelsa"/>
    <x v="2"/>
    <x v="0"/>
  </r>
  <r>
    <s v="WDM-77521-710"/>
    <x v="327"/>
    <s v="86144-10144-CB"/>
    <s v="A-M-0.5"/>
    <n v="2"/>
    <x v="365"/>
    <s v="agregorattilq@vistaprint.com"/>
    <x v="0"/>
    <x v="2"/>
    <s v="M"/>
    <x v="1"/>
    <n v="6.75"/>
    <n v="13.5"/>
    <s v="Arabica"/>
    <x v="0"/>
    <x v="1"/>
  </r>
  <r>
    <s v="EIP-19142-462"/>
    <x v="328"/>
    <s v="60973-72562-DQ"/>
    <s v="E-L-1"/>
    <n v="6"/>
    <x v="366"/>
    <s v="gwhiteheadls@hp.com"/>
    <x v="0"/>
    <x v="1"/>
    <s v="L"/>
    <x v="0"/>
    <n v="14.85"/>
    <n v="89.1"/>
    <s v="Excelsa"/>
    <x v="1"/>
    <x v="1"/>
  </r>
  <r>
    <s v="EIP-19142-462"/>
    <x v="328"/>
    <s v="60973-72562-DQ"/>
    <s v="A-L-0.2"/>
    <n v="1"/>
    <x v="366"/>
    <s v="hjodrellelt@samsung.com"/>
    <x v="0"/>
    <x v="2"/>
    <s v="L"/>
    <x v="3"/>
    <n v="3.8849999999999998"/>
    <n v="3.8849999999999998"/>
    <s v="Arabica"/>
    <x v="1"/>
    <x v="1"/>
  </r>
  <r>
    <s v="ZZL-76364-387"/>
    <x v="128"/>
    <s v="11263-86515-VU"/>
    <s v="R-L-2.5"/>
    <n v="4"/>
    <x v="367"/>
    <s v="knottramlw@odnoklassniki.ru"/>
    <x v="0"/>
    <x v="0"/>
    <s v="L"/>
    <x v="2"/>
    <n v="27.484999999999996"/>
    <n v="109.93999999999998"/>
    <s v="Robusta"/>
    <x v="1"/>
    <x v="1"/>
  </r>
  <r>
    <s v="GMF-18638-786"/>
    <x v="329"/>
    <s v="60004-62976-NI"/>
    <s v="L-D-0.5"/>
    <n v="6"/>
    <x v="368"/>
    <s v="smcshealy@photobucket.com"/>
    <x v="0"/>
    <x v="3"/>
    <s v="D"/>
    <x v="1"/>
    <n v="7.77"/>
    <n v="46.62"/>
    <s v="Liberica"/>
    <x v="2"/>
    <x v="0"/>
  </r>
  <r>
    <s v="TDJ-20844-787"/>
    <x v="330"/>
    <s v="77876-28498-HI"/>
    <s v="A-L-0.5"/>
    <n v="5"/>
    <x v="369"/>
    <s v="jgippesm0@cloudflare.com"/>
    <x v="0"/>
    <x v="2"/>
    <s v="L"/>
    <x v="1"/>
    <n v="7.77"/>
    <n v="38.849999999999994"/>
    <s v="Arabica"/>
    <x v="1"/>
    <x v="1"/>
  </r>
  <r>
    <s v="BWK-39400-446"/>
    <x v="331"/>
    <s v="61302-06948-EH"/>
    <s v="L-D-0.5"/>
    <n v="4"/>
    <x v="370"/>
    <s v="gtrengrovem2@elpais.com"/>
    <x v="0"/>
    <x v="3"/>
    <s v="D"/>
    <x v="1"/>
    <n v="7.77"/>
    <n v="31.08"/>
    <s v="Liberica"/>
    <x v="2"/>
    <x v="0"/>
  </r>
  <r>
    <s v="LCB-02099-995"/>
    <x v="332"/>
    <s v="06757-96251-UH"/>
    <s v="A-D-0.2"/>
    <n v="6"/>
    <x v="371"/>
    <s v=""/>
    <x v="0"/>
    <x v="2"/>
    <s v="D"/>
    <x v="3"/>
    <n v="2.9849999999999999"/>
    <n v="17.91"/>
    <s v="Arabica"/>
    <x v="2"/>
    <x v="0"/>
  </r>
  <r>
    <s v="UBA-43678-174"/>
    <x v="333"/>
    <s v="44530-75983-OD"/>
    <s v="E-D-2.5"/>
    <n v="6"/>
    <x v="372"/>
    <s v="gruggenm6@nymag.com"/>
    <x v="2"/>
    <x v="1"/>
    <s v="D"/>
    <x v="2"/>
    <n v="27.945"/>
    <n v="167.67000000000002"/>
    <s v="Excelsa"/>
    <x v="2"/>
    <x v="1"/>
  </r>
  <r>
    <s v="UDH-24280-432"/>
    <x v="334"/>
    <s v="44865-58249-RY"/>
    <s v="L-L-1"/>
    <n v="4"/>
    <x v="373"/>
    <s v="mfrightm8@harvard.edu"/>
    <x v="0"/>
    <x v="3"/>
    <s v="L"/>
    <x v="0"/>
    <n v="15.85"/>
    <n v="63.4"/>
    <s v="Liberica"/>
    <x v="1"/>
    <x v="1"/>
  </r>
  <r>
    <s v="IDQ-20193-502"/>
    <x v="335"/>
    <s v="36021-61205-DF"/>
    <s v="L-M-0.2"/>
    <n v="2"/>
    <x v="374"/>
    <s v="ckrzysztofiakma@skyrock.com"/>
    <x v="0"/>
    <x v="3"/>
    <s v="M"/>
    <x v="3"/>
    <n v="4.3650000000000002"/>
    <n v="8.73"/>
    <s v="Liberica"/>
    <x v="0"/>
    <x v="0"/>
  </r>
  <r>
    <s v="DJG-14442-608"/>
    <x v="336"/>
    <s v="75716-12782-SS"/>
    <s v="R-D-1"/>
    <n v="3"/>
    <x v="375"/>
    <s v=""/>
    <x v="0"/>
    <x v="0"/>
    <s v="D"/>
    <x v="0"/>
    <n v="8.9499999999999993"/>
    <n v="26.849999999999998"/>
    <s v="Robusta"/>
    <x v="2"/>
    <x v="0"/>
  </r>
  <r>
    <s v="DWB-61381-370"/>
    <x v="337"/>
    <s v="11812-00461-KH"/>
    <s v="L-L-0.2"/>
    <n v="2"/>
    <x v="376"/>
    <s v=""/>
    <x v="0"/>
    <x v="3"/>
    <s v="L"/>
    <x v="3"/>
    <n v="4.7549999999999999"/>
    <n v="9.51"/>
    <s v="Liberica"/>
    <x v="1"/>
    <x v="1"/>
  </r>
  <r>
    <s v="FRD-17347-990"/>
    <x v="80"/>
    <s v="46681-78850-ZW"/>
    <s v="A-D-1"/>
    <n v="4"/>
    <x v="377"/>
    <s v="amellandmg@pen.io"/>
    <x v="1"/>
    <x v="2"/>
    <s v="D"/>
    <x v="0"/>
    <n v="9.9499999999999993"/>
    <n v="39.799999999999997"/>
    <s v="Arabica"/>
    <x v="2"/>
    <x v="1"/>
  </r>
  <r>
    <s v="YPP-27450-525"/>
    <x v="338"/>
    <s v="01932-87052-KO"/>
    <s v="E-M-0.5"/>
    <n v="3"/>
    <x v="378"/>
    <s v="abalsdonemi@toplist.cz"/>
    <x v="0"/>
    <x v="1"/>
    <s v="M"/>
    <x v="1"/>
    <n v="8.25"/>
    <n v="24.75"/>
    <s v="Excelsa"/>
    <x v="0"/>
    <x v="0"/>
  </r>
  <r>
    <s v="EFC-39577-424"/>
    <x v="339"/>
    <s v="16046-34805-ZF"/>
    <s v="E-M-1"/>
    <n v="5"/>
    <x v="379"/>
    <s v="mglovermk@cnbc.com"/>
    <x v="0"/>
    <x v="1"/>
    <s v="M"/>
    <x v="0"/>
    <n v="13.75"/>
    <n v="68.75"/>
    <s v="Excelsa"/>
    <x v="0"/>
    <x v="0"/>
  </r>
  <r>
    <s v="LAW-80062-016"/>
    <x v="340"/>
    <s v="34546-70516-LR"/>
    <s v="E-M-0.5"/>
    <n v="6"/>
    <x v="380"/>
    <s v="senefermm@blog.com"/>
    <x v="1"/>
    <x v="1"/>
    <s v="M"/>
    <x v="1"/>
    <n v="8.25"/>
    <n v="49.5"/>
    <s v="Excelsa"/>
    <x v="0"/>
    <x v="1"/>
  </r>
  <r>
    <s v="WKL-27981-758"/>
    <x v="177"/>
    <s v="73699-93557-FZ"/>
    <s v="A-M-2.5"/>
    <n v="2"/>
    <x v="381"/>
    <s v="mgundrymo@omniture.com"/>
    <x v="0"/>
    <x v="2"/>
    <s v="M"/>
    <x v="2"/>
    <n v="25.874999999999996"/>
    <n v="51.749999999999993"/>
    <s v="Arabica"/>
    <x v="0"/>
    <x v="0"/>
  </r>
  <r>
    <s v="VRT-39834-265"/>
    <x v="341"/>
    <s v="86686-37462-CK"/>
    <s v="L-L-1"/>
    <n v="3"/>
    <x v="382"/>
    <s v=""/>
    <x v="1"/>
    <x v="3"/>
    <s v="L"/>
    <x v="0"/>
    <n v="15.85"/>
    <n v="47.55"/>
    <s v="Liberica"/>
    <x v="1"/>
    <x v="0"/>
  </r>
  <r>
    <s v="QTC-71005-730"/>
    <x v="342"/>
    <s v="14298-02150-KH"/>
    <s v="A-L-0.2"/>
    <n v="4"/>
    <x v="383"/>
    <s v="estentonms@google.it"/>
    <x v="0"/>
    <x v="2"/>
    <s v="L"/>
    <x v="3"/>
    <n v="3.8849999999999998"/>
    <n v="15.54"/>
    <s v="Arabica"/>
    <x v="1"/>
    <x v="1"/>
  </r>
  <r>
    <s v="TNX-09857-717"/>
    <x v="343"/>
    <s v="48675-07824-HJ"/>
    <s v="L-M-1"/>
    <n v="6"/>
    <x v="384"/>
    <s v="lmacmanusmu@imdb.com"/>
    <x v="0"/>
    <x v="3"/>
    <s v="M"/>
    <x v="0"/>
    <n v="14.55"/>
    <n v="87.300000000000011"/>
    <s v="Liberica"/>
    <x v="0"/>
    <x v="0"/>
  </r>
  <r>
    <s v="JZV-43874-185"/>
    <x v="344"/>
    <s v="18551-80943-YQ"/>
    <s v="A-M-1"/>
    <n v="5"/>
    <x v="385"/>
    <s v="cbournermw@chronoengine.com"/>
    <x v="0"/>
    <x v="2"/>
    <s v="M"/>
    <x v="0"/>
    <n v="11.25"/>
    <n v="56.25"/>
    <s v="Arabica"/>
    <x v="0"/>
    <x v="0"/>
  </r>
  <r>
    <s v="ICF-17486-106"/>
    <x v="47"/>
    <s v="19196-09748-DB"/>
    <s v="L-L-2.5"/>
    <n v="1"/>
    <x v="386"/>
    <s v="kheddanmy@icq.com"/>
    <x v="0"/>
    <x v="3"/>
    <s v="L"/>
    <x v="2"/>
    <n v="36.454999999999998"/>
    <n v="36.454999999999998"/>
    <s v="Liberica"/>
    <x v="1"/>
    <x v="0"/>
  </r>
  <r>
    <s v="BMK-49520-383"/>
    <x v="345"/>
    <s v="72233-08665-IP"/>
    <s v="R-L-0.2"/>
    <n v="3"/>
    <x v="387"/>
    <s v="aroubertn0@tmall.com"/>
    <x v="0"/>
    <x v="0"/>
    <s v="L"/>
    <x v="3"/>
    <n v="3.5849999999999995"/>
    <n v="10.754999999999999"/>
    <s v="Robusta"/>
    <x v="1"/>
    <x v="0"/>
  </r>
  <r>
    <s v="HTS-15020-632"/>
    <x v="169"/>
    <s v="53817-13148-RK"/>
    <s v="R-M-0.2"/>
    <n v="3"/>
    <x v="388"/>
    <s v="hrainforthn2@blog.com"/>
    <x v="0"/>
    <x v="0"/>
    <s v="M"/>
    <x v="3"/>
    <n v="2.9849999999999999"/>
    <n v="8.9550000000000001"/>
    <s v="Robusta"/>
    <x v="0"/>
    <x v="1"/>
  </r>
  <r>
    <s v="YLE-18247-749"/>
    <x v="346"/>
    <s v="92227-49331-QR"/>
    <s v="A-L-0.5"/>
    <n v="3"/>
    <x v="389"/>
    <s v="ijespern4@theglobeandmail.com"/>
    <x v="0"/>
    <x v="2"/>
    <s v="L"/>
    <x v="1"/>
    <n v="7.77"/>
    <n v="23.31"/>
    <s v="Arabica"/>
    <x v="1"/>
    <x v="0"/>
  </r>
  <r>
    <s v="KJJ-12573-591"/>
    <x v="347"/>
    <s v="12997-41076-FQ"/>
    <s v="A-L-2.5"/>
    <n v="1"/>
    <x v="390"/>
    <s v="nbroomern6@examiner.com"/>
    <x v="0"/>
    <x v="2"/>
    <s v="L"/>
    <x v="2"/>
    <n v="29.784999999999997"/>
    <n v="29.784999999999997"/>
    <s v="Arabica"/>
    <x v="1"/>
    <x v="0"/>
  </r>
  <r>
    <s v="RGU-43561-950"/>
    <x v="348"/>
    <s v="44220-00348-MB"/>
    <s v="A-L-2.5"/>
    <n v="5"/>
    <x v="391"/>
    <s v="fhabberghamn8@discovery.com"/>
    <x v="0"/>
    <x v="2"/>
    <s v="L"/>
    <x v="2"/>
    <n v="29.784999999999997"/>
    <n v="148.92499999999998"/>
    <s v="Arabica"/>
    <x v="1"/>
    <x v="0"/>
  </r>
  <r>
    <s v="JSN-73975-443"/>
    <x v="349"/>
    <s v="93047-98331-DD"/>
    <s v="L-M-0.5"/>
    <n v="1"/>
    <x v="392"/>
    <s v="ravrashinna@tamu.edu"/>
    <x v="0"/>
    <x v="3"/>
    <s v="M"/>
    <x v="1"/>
    <n v="8.73"/>
    <n v="8.73"/>
    <s v="Liberica"/>
    <x v="0"/>
    <x v="0"/>
  </r>
  <r>
    <s v="WNR-71736-993"/>
    <x v="350"/>
    <s v="16880-78077-FB"/>
    <s v="L-D-0.5"/>
    <n v="4"/>
    <x v="347"/>
    <s v="jgippesm0@cloudflare.com"/>
    <x v="0"/>
    <x v="3"/>
    <s v="D"/>
    <x v="1"/>
    <n v="7.77"/>
    <n v="31.08"/>
    <s v="Liberica"/>
    <x v="2"/>
    <x v="1"/>
  </r>
  <r>
    <s v="WNR-71736-993"/>
    <x v="350"/>
    <s v="16880-78077-FB"/>
    <s v="A-D-2.5"/>
    <n v="6"/>
    <x v="347"/>
    <s v="lwhittleseem1@e-recht24.de"/>
    <x v="0"/>
    <x v="2"/>
    <s v="D"/>
    <x v="2"/>
    <n v="22.884999999999998"/>
    <n v="137.31"/>
    <s v="Arabica"/>
    <x v="2"/>
    <x v="1"/>
  </r>
  <r>
    <s v="HNI-91338-546"/>
    <x v="54"/>
    <s v="67285-75317-XI"/>
    <s v="A-D-0.5"/>
    <n v="5"/>
    <x v="393"/>
    <s v="agladhillng@stanford.edu"/>
    <x v="0"/>
    <x v="2"/>
    <s v="D"/>
    <x v="1"/>
    <n v="5.97"/>
    <n v="29.849999999999998"/>
    <s v="Arabica"/>
    <x v="2"/>
    <x v="1"/>
  </r>
  <r>
    <s v="CYH-53243-218"/>
    <x v="237"/>
    <s v="88167-57964-PH"/>
    <s v="R-M-0.5"/>
    <n v="3"/>
    <x v="394"/>
    <s v=""/>
    <x v="0"/>
    <x v="0"/>
    <s v="M"/>
    <x v="1"/>
    <n v="5.97"/>
    <n v="17.91"/>
    <s v="Robusta"/>
    <x v="0"/>
    <x v="1"/>
  </r>
  <r>
    <s v="SVD-75407-177"/>
    <x v="351"/>
    <s v="16106-36039-QS"/>
    <s v="E-L-0.5"/>
    <n v="3"/>
    <x v="395"/>
    <s v=""/>
    <x v="0"/>
    <x v="1"/>
    <s v="L"/>
    <x v="1"/>
    <n v="8.91"/>
    <n v="26.73"/>
    <s v="Excelsa"/>
    <x v="1"/>
    <x v="0"/>
  </r>
  <r>
    <s v="NVN-66443-451"/>
    <x v="352"/>
    <s v="98921-82417-GN"/>
    <s v="R-D-1"/>
    <n v="2"/>
    <x v="396"/>
    <s v="bjevonnm@feedburner.com"/>
    <x v="0"/>
    <x v="0"/>
    <s v="D"/>
    <x v="0"/>
    <n v="8.9499999999999993"/>
    <n v="17.899999999999999"/>
    <s v="Robusta"/>
    <x v="2"/>
    <x v="1"/>
  </r>
  <r>
    <s v="JUA-13580-095"/>
    <x v="102"/>
    <s v="55265-75151-AK"/>
    <s v="R-L-0.2"/>
    <n v="4"/>
    <x v="397"/>
    <s v="bgaishno@altervista.org"/>
    <x v="1"/>
    <x v="0"/>
    <s v="L"/>
    <x v="3"/>
    <n v="3.5849999999999995"/>
    <n v="14.339999999999998"/>
    <s v="Robusta"/>
    <x v="1"/>
    <x v="0"/>
  </r>
  <r>
    <s v="ACY-56225-839"/>
    <x v="353"/>
    <s v="47386-50743-FG"/>
    <s v="A-M-2.5"/>
    <n v="3"/>
    <x v="398"/>
    <s v="smorrallnq@answers.com"/>
    <x v="0"/>
    <x v="2"/>
    <s v="M"/>
    <x v="2"/>
    <n v="25.874999999999996"/>
    <n v="77.624999999999986"/>
    <s v="Arabica"/>
    <x v="0"/>
    <x v="0"/>
  </r>
  <r>
    <s v="QBB-07903-622"/>
    <x v="354"/>
    <s v="32622-54551-UC"/>
    <s v="R-L-1"/>
    <n v="5"/>
    <x v="399"/>
    <s v="kwesselns@wikispaces.com"/>
    <x v="0"/>
    <x v="0"/>
    <s v="L"/>
    <x v="0"/>
    <n v="11.95"/>
    <n v="59.75"/>
    <s v="Robusta"/>
    <x v="1"/>
    <x v="1"/>
  </r>
  <r>
    <s v="JLJ-81802-619"/>
    <x v="135"/>
    <s v="16880-78077-FB"/>
    <s v="A-L-1"/>
    <n v="6"/>
    <x v="347"/>
    <s v="btartem9@aol.com"/>
    <x v="0"/>
    <x v="2"/>
    <s v="L"/>
    <x v="0"/>
    <n v="12.95"/>
    <n v="77.699999999999989"/>
    <s v="Arabica"/>
    <x v="1"/>
    <x v="1"/>
  </r>
  <r>
    <s v="HFT-77191-168"/>
    <x v="343"/>
    <s v="48419-02347-XP"/>
    <s v="R-D-0.2"/>
    <n v="2"/>
    <x v="400"/>
    <s v=""/>
    <x v="0"/>
    <x v="0"/>
    <s v="D"/>
    <x v="3"/>
    <n v="2.6849999999999996"/>
    <n v="5.3699999999999992"/>
    <s v="Robusta"/>
    <x v="2"/>
    <x v="0"/>
  </r>
  <r>
    <s v="SZR-35951-530"/>
    <x v="89"/>
    <s v="14121-20527-OJ"/>
    <s v="E-D-2.5"/>
    <n v="3"/>
    <x v="401"/>
    <s v="goatsny@live.com"/>
    <x v="1"/>
    <x v="1"/>
    <s v="D"/>
    <x v="2"/>
    <n v="27.945"/>
    <n v="83.835000000000008"/>
    <s v="Excelsa"/>
    <x v="2"/>
    <x v="0"/>
  </r>
  <r>
    <s v="IKL-95976-565"/>
    <x v="355"/>
    <s v="53486-73919-BQ"/>
    <s v="A-M-1"/>
    <n v="2"/>
    <x v="402"/>
    <s v="rpysono0@constantcontact.com"/>
    <x v="0"/>
    <x v="2"/>
    <s v="M"/>
    <x v="0"/>
    <n v="11.25"/>
    <n v="22.5"/>
    <s v="Arabica"/>
    <x v="0"/>
    <x v="1"/>
  </r>
  <r>
    <s v="XEY-48929-474"/>
    <x v="204"/>
    <s v="21889-94615-WT"/>
    <s v="L-M-2.5"/>
    <n v="6"/>
    <x v="403"/>
    <s v="rtreachero2@usa.gov"/>
    <x v="0"/>
    <x v="3"/>
    <s v="M"/>
    <x v="2"/>
    <n v="33.464999999999996"/>
    <n v="200.78999999999996"/>
    <s v="Liberica"/>
    <x v="0"/>
    <x v="0"/>
  </r>
  <r>
    <s v="SQT-07286-736"/>
    <x v="356"/>
    <s v="87726-16941-QW"/>
    <s v="A-M-1"/>
    <n v="6"/>
    <x v="404"/>
    <s v="mpalleskeo4@nyu.edu"/>
    <x v="0"/>
    <x v="2"/>
    <s v="M"/>
    <x v="0"/>
    <n v="11.25"/>
    <n v="67.5"/>
    <s v="Arabica"/>
    <x v="0"/>
    <x v="1"/>
  </r>
  <r>
    <s v="QDU-45390-361"/>
    <x v="357"/>
    <s v="03677-09134-BC"/>
    <s v="E-M-0.5"/>
    <n v="1"/>
    <x v="405"/>
    <s v="fantcliffeo6@amazon.co.jp"/>
    <x v="0"/>
    <x v="1"/>
    <s v="M"/>
    <x v="1"/>
    <n v="8.25"/>
    <n v="8.25"/>
    <s v="Excelsa"/>
    <x v="0"/>
    <x v="1"/>
  </r>
  <r>
    <s v="RUJ-30649-712"/>
    <x v="300"/>
    <s v="93224-71517-WV"/>
    <s v="L-L-0.2"/>
    <n v="2"/>
    <x v="406"/>
    <s v="cweondo8@theglobeandmail.com"/>
    <x v="0"/>
    <x v="3"/>
    <s v="L"/>
    <x v="3"/>
    <n v="4.7549999999999999"/>
    <n v="9.51"/>
    <s v="Liberica"/>
    <x v="1"/>
    <x v="0"/>
  </r>
  <r>
    <s v="WSV-49732-075"/>
    <x v="358"/>
    <s v="76263-95145-GJ"/>
    <s v="L-D-2.5"/>
    <n v="1"/>
    <x v="407"/>
    <s v="jskentelberyoa@paypal.com"/>
    <x v="0"/>
    <x v="3"/>
    <s v="D"/>
    <x v="2"/>
    <n v="29.784999999999997"/>
    <n v="29.784999999999997"/>
    <s v="Liberica"/>
    <x v="2"/>
    <x v="1"/>
  </r>
  <r>
    <s v="VJF-46305-323"/>
    <x v="161"/>
    <s v="68555-89840-GZ"/>
    <s v="L-D-0.5"/>
    <n v="2"/>
    <x v="408"/>
    <s v="kmarrisonoq@dropbox.com"/>
    <x v="0"/>
    <x v="3"/>
    <s v="D"/>
    <x v="1"/>
    <n v="7.77"/>
    <n v="15.54"/>
    <s v="Liberica"/>
    <x v="2"/>
    <x v="1"/>
  </r>
  <r>
    <s v="CXD-74176-600"/>
    <x v="129"/>
    <s v="70624-19112-AO"/>
    <s v="E-L-0.5"/>
    <n v="4"/>
    <x v="409"/>
    <s v=""/>
    <x v="1"/>
    <x v="1"/>
    <s v="L"/>
    <x v="1"/>
    <n v="8.91"/>
    <n v="35.64"/>
    <s v="Excelsa"/>
    <x v="1"/>
    <x v="1"/>
  </r>
  <r>
    <s v="ADX-50674-975"/>
    <x v="359"/>
    <s v="58916-61837-QH"/>
    <s v="A-M-2.5"/>
    <n v="4"/>
    <x v="410"/>
    <s v="chatfullog@ebay.com"/>
    <x v="0"/>
    <x v="2"/>
    <s v="M"/>
    <x v="2"/>
    <n v="25.874999999999996"/>
    <n v="103.49999999999999"/>
    <s v="Arabica"/>
    <x v="0"/>
    <x v="0"/>
  </r>
  <r>
    <s v="RRP-51647-420"/>
    <x v="360"/>
    <s v="89292-52335-YZ"/>
    <s v="E-D-1"/>
    <n v="3"/>
    <x v="411"/>
    <s v="cswatmanoi@cbslocal.com"/>
    <x v="1"/>
    <x v="1"/>
    <s v="D"/>
    <x v="0"/>
    <n v="12.15"/>
    <n v="36.450000000000003"/>
    <s v="Excelsa"/>
    <x v="2"/>
    <x v="0"/>
  </r>
  <r>
    <s v="PKJ-99134-523"/>
    <x v="361"/>
    <s v="77284-34297-YY"/>
    <s v="R-L-0.5"/>
    <n v="5"/>
    <x v="412"/>
    <s v="dkiddyok@fda.gov"/>
    <x v="0"/>
    <x v="0"/>
    <s v="L"/>
    <x v="1"/>
    <n v="7.169999999999999"/>
    <n v="35.849999999999994"/>
    <s v="Robusta"/>
    <x v="1"/>
    <x v="1"/>
  </r>
  <r>
    <s v="FZQ-29439-457"/>
    <x v="362"/>
    <s v="50449-80974-BZ"/>
    <s v="E-L-0.2"/>
    <n v="5"/>
    <x v="413"/>
    <s v="mschollom@taobao.com"/>
    <x v="1"/>
    <x v="1"/>
    <s v="L"/>
    <x v="3"/>
    <n v="4.4550000000000001"/>
    <n v="22.274999999999999"/>
    <s v="Excelsa"/>
    <x v="1"/>
    <x v="0"/>
  </r>
  <r>
    <s v="USN-68115-161"/>
    <x v="363"/>
    <s v="08120-16183-AW"/>
    <s v="E-M-0.2"/>
    <n v="6"/>
    <x v="414"/>
    <s v="bkellowayoo@omniture.com"/>
    <x v="1"/>
    <x v="1"/>
    <s v="M"/>
    <x v="3"/>
    <n v="4.125"/>
    <n v="24.75"/>
    <s v="Excelsa"/>
    <x v="0"/>
    <x v="1"/>
  </r>
  <r>
    <s v="IXU-20263-532"/>
    <x v="364"/>
    <s v="68044-89277-ML"/>
    <s v="L-M-2.5"/>
    <n v="2"/>
    <x v="415"/>
    <s v="kmarrisonoq@dropbox.com"/>
    <x v="1"/>
    <x v="3"/>
    <s v="M"/>
    <x v="2"/>
    <n v="33.464999999999996"/>
    <n v="66.929999999999993"/>
    <s v="Liberica"/>
    <x v="0"/>
    <x v="0"/>
  </r>
  <r>
    <s v="CBT-15092-420"/>
    <x v="85"/>
    <s v="71364-35210-HS"/>
    <s v="L-M-0.5"/>
    <n v="1"/>
    <x v="416"/>
    <s v="pvasilenkoos@addtoany.com"/>
    <x v="2"/>
    <x v="3"/>
    <s v="M"/>
    <x v="1"/>
    <n v="8.73"/>
    <n v="8.73"/>
    <s v="Liberica"/>
    <x v="0"/>
    <x v="0"/>
  </r>
  <r>
    <s v="PKQ-46841-696"/>
    <x v="365"/>
    <s v="37177-68797-ON"/>
    <s v="R-M-0.5"/>
    <n v="3"/>
    <x v="417"/>
    <s v=""/>
    <x v="0"/>
    <x v="0"/>
    <s v="M"/>
    <x v="1"/>
    <n v="5.97"/>
    <n v="17.91"/>
    <s v="Robusta"/>
    <x v="0"/>
    <x v="1"/>
  </r>
  <r>
    <s v="XDU-05471-219"/>
    <x v="366"/>
    <s v="60308-06944-GS"/>
    <s v="R-L-0.5"/>
    <n v="1"/>
    <x v="418"/>
    <s v="bcargenow@geocities.jp"/>
    <x v="1"/>
    <x v="0"/>
    <s v="L"/>
    <x v="1"/>
    <n v="7.169999999999999"/>
    <n v="7.169999999999999"/>
    <s v="Robusta"/>
    <x v="1"/>
    <x v="1"/>
  </r>
  <r>
    <s v="NID-20149-329"/>
    <x v="367"/>
    <s v="49888-39458-PF"/>
    <s v="R-D-0.2"/>
    <n v="2"/>
    <x v="419"/>
    <s v=""/>
    <x v="0"/>
    <x v="0"/>
    <s v="D"/>
    <x v="3"/>
    <n v="2.6849999999999996"/>
    <n v="5.3699999999999992"/>
    <s v="Robusta"/>
    <x v="2"/>
    <x v="1"/>
  </r>
  <r>
    <s v="SVU-27222-213"/>
    <x v="142"/>
    <s v="60748-46813-DZ"/>
    <s v="L-L-0.2"/>
    <n v="5"/>
    <x v="420"/>
    <s v=""/>
    <x v="1"/>
    <x v="3"/>
    <s v="L"/>
    <x v="3"/>
    <n v="4.7549999999999999"/>
    <n v="23.774999999999999"/>
    <s v="Liberica"/>
    <x v="1"/>
    <x v="1"/>
  </r>
  <r>
    <s v="RWI-84131-848"/>
    <x v="368"/>
    <s v="16385-11286-NX"/>
    <s v="R-D-2.5"/>
    <n v="2"/>
    <x v="421"/>
    <s v="hrannerp2@omniture.com"/>
    <x v="0"/>
    <x v="0"/>
    <s v="D"/>
    <x v="2"/>
    <n v="20.584999999999997"/>
    <n v="41.169999999999995"/>
    <s v="Robusta"/>
    <x v="2"/>
    <x v="0"/>
  </r>
  <r>
    <s v="GUU-40666-525"/>
    <x v="31"/>
    <s v="68555-89840-GZ"/>
    <s v="A-L-0.2"/>
    <n v="3"/>
    <x v="408"/>
    <s v="dsopperp4@eventbrite.com"/>
    <x v="0"/>
    <x v="2"/>
    <s v="L"/>
    <x v="3"/>
    <n v="3.8849999999999998"/>
    <n v="11.654999999999999"/>
    <s v="Arabica"/>
    <x v="1"/>
    <x v="1"/>
  </r>
  <r>
    <s v="SCN-51395-066"/>
    <x v="369"/>
    <s v="72164-90254-EJ"/>
    <s v="L-L-0.5"/>
    <n v="4"/>
    <x v="422"/>
    <s v="lledgleyp6@de.vu"/>
    <x v="0"/>
    <x v="3"/>
    <s v="L"/>
    <x v="1"/>
    <n v="9.51"/>
    <n v="38.04"/>
    <s v="Liberica"/>
    <x v="1"/>
    <x v="1"/>
  </r>
  <r>
    <s v="ULA-24644-321"/>
    <x v="370"/>
    <s v="67010-92988-CT"/>
    <s v="R-D-2.5"/>
    <n v="4"/>
    <x v="423"/>
    <s v="gciccottip8@so-net.ne.jp"/>
    <x v="1"/>
    <x v="0"/>
    <s v="D"/>
    <x v="2"/>
    <n v="20.584999999999997"/>
    <n v="82.339999999999989"/>
    <s v="Robusta"/>
    <x v="2"/>
    <x v="0"/>
  </r>
  <r>
    <s v="EOL-92666-762"/>
    <x v="371"/>
    <s v="15776-91507-GT"/>
    <s v="L-L-0.2"/>
    <n v="2"/>
    <x v="424"/>
    <s v="wjallinpa@pcworld.com"/>
    <x v="1"/>
    <x v="3"/>
    <s v="L"/>
    <x v="3"/>
    <n v="4.7549999999999999"/>
    <n v="9.51"/>
    <s v="Liberica"/>
    <x v="1"/>
    <x v="0"/>
  </r>
  <r>
    <s v="AJV-18231-334"/>
    <x v="372"/>
    <s v="23473-41001-CD"/>
    <s v="R-D-2.5"/>
    <n v="2"/>
    <x v="425"/>
    <s v=""/>
    <x v="2"/>
    <x v="0"/>
    <s v="D"/>
    <x v="2"/>
    <n v="20.584999999999997"/>
    <n v="41.169999999999995"/>
    <s v="Robusta"/>
    <x v="2"/>
    <x v="1"/>
  </r>
  <r>
    <s v="ZQI-47236-301"/>
    <x v="373"/>
    <s v="23446-47798-ID"/>
    <s v="L-L-0.5"/>
    <n v="5"/>
    <x v="426"/>
    <s v="alewrype@whitehouse.gov"/>
    <x v="0"/>
    <x v="3"/>
    <s v="L"/>
    <x v="1"/>
    <n v="9.51"/>
    <n v="47.55"/>
    <s v="Liberica"/>
    <x v="1"/>
    <x v="1"/>
  </r>
  <r>
    <s v="ZCR-15721-658"/>
    <x v="374"/>
    <s v="28327-84469-ND"/>
    <s v="A-M-1"/>
    <n v="4"/>
    <x v="427"/>
    <s v=""/>
    <x v="0"/>
    <x v="2"/>
    <s v="M"/>
    <x v="0"/>
    <n v="11.25"/>
    <n v="45"/>
    <s v="Arabica"/>
    <x v="0"/>
    <x v="1"/>
  </r>
  <r>
    <s v="QEW-47945-682"/>
    <x v="319"/>
    <s v="42466-87067-DT"/>
    <s v="L-L-0.2"/>
    <n v="5"/>
    <x v="428"/>
    <s v="otocquepi@abc.net.au"/>
    <x v="0"/>
    <x v="3"/>
    <s v="L"/>
    <x v="3"/>
    <n v="4.7549999999999999"/>
    <n v="23.774999999999999"/>
    <s v="Liberica"/>
    <x v="1"/>
    <x v="1"/>
  </r>
  <r>
    <s v="PSY-45485-542"/>
    <x v="375"/>
    <s v="62246-99443-HF"/>
    <s v="R-D-0.5"/>
    <n v="3"/>
    <x v="429"/>
    <s v="hreuvenpk@whitehouse.gov"/>
    <x v="1"/>
    <x v="0"/>
    <s v="D"/>
    <x v="1"/>
    <n v="5.3699999999999992"/>
    <n v="16.11"/>
    <s v="Robusta"/>
    <x v="2"/>
    <x v="0"/>
  </r>
  <r>
    <s v="BAQ-74241-156"/>
    <x v="376"/>
    <s v="99869-55718-UU"/>
    <s v="R-D-0.2"/>
    <n v="4"/>
    <x v="430"/>
    <s v=""/>
    <x v="2"/>
    <x v="0"/>
    <s v="D"/>
    <x v="3"/>
    <n v="2.6849999999999996"/>
    <n v="10.739999999999998"/>
    <s v="Robusta"/>
    <x v="2"/>
    <x v="0"/>
  </r>
  <r>
    <s v="BVU-77367-451"/>
    <x v="377"/>
    <s v="77421-46059-RY"/>
    <s v="A-D-1"/>
    <n v="5"/>
    <x v="431"/>
    <s v="cmaccourtpo@amazon.com"/>
    <x v="0"/>
    <x v="2"/>
    <s v="D"/>
    <x v="0"/>
    <n v="9.9499999999999993"/>
    <n v="49.75"/>
    <s v="Arabica"/>
    <x v="2"/>
    <x v="0"/>
  </r>
  <r>
    <s v="TJE-91516-344"/>
    <x v="378"/>
    <s v="49894-06550-OQ"/>
    <s v="E-M-1"/>
    <n v="2"/>
    <x v="432"/>
    <s v="ewilsonepq@eepurl.com"/>
    <x v="1"/>
    <x v="1"/>
    <s v="M"/>
    <x v="0"/>
    <n v="13.75"/>
    <n v="27.5"/>
    <s v="Excelsa"/>
    <x v="0"/>
    <x v="1"/>
  </r>
  <r>
    <s v="LIS-96202-702"/>
    <x v="277"/>
    <s v="72028-63343-SU"/>
    <s v="L-D-2.5"/>
    <n v="4"/>
    <x v="433"/>
    <s v="mmatiasekps@ucoz.ru"/>
    <x v="2"/>
    <x v="3"/>
    <s v="D"/>
    <x v="2"/>
    <n v="29.784999999999997"/>
    <n v="119.13999999999999"/>
    <s v="Liberica"/>
    <x v="2"/>
    <x v="1"/>
  </r>
  <r>
    <s v="VIO-27668-766"/>
    <x v="379"/>
    <s v="10074-20104-NN"/>
    <s v="R-D-2.5"/>
    <n v="1"/>
    <x v="434"/>
    <s v="kphilbrickpu@cdc.gov"/>
    <x v="0"/>
    <x v="0"/>
    <s v="D"/>
    <x v="2"/>
    <n v="20.584999999999997"/>
    <n v="20.584999999999997"/>
    <s v="Robusta"/>
    <x v="2"/>
    <x v="0"/>
  </r>
  <r>
    <s v="ZVG-20473-043"/>
    <x v="86"/>
    <s v="71769-10219-IM"/>
    <s v="A-D-0.2"/>
    <n v="3"/>
    <x v="435"/>
    <s v="bsillispw@istockphoto.com"/>
    <x v="0"/>
    <x v="2"/>
    <s v="D"/>
    <x v="3"/>
    <n v="2.9849999999999999"/>
    <n v="8.9550000000000001"/>
    <s v="Arabica"/>
    <x v="2"/>
    <x v="0"/>
  </r>
  <r>
    <s v="KGZ-56395-231"/>
    <x v="380"/>
    <s v="22221-71106-JD"/>
    <s v="A-D-0.5"/>
    <n v="1"/>
    <x v="436"/>
    <s v="rcuttspy@techcrunch.com"/>
    <x v="0"/>
    <x v="2"/>
    <s v="D"/>
    <x v="1"/>
    <n v="5.97"/>
    <n v="5.97"/>
    <s v="Arabica"/>
    <x v="2"/>
    <x v="1"/>
  </r>
  <r>
    <s v="CUU-92244-729"/>
    <x v="381"/>
    <s v="99735-44927-OL"/>
    <s v="E-M-1"/>
    <n v="3"/>
    <x v="437"/>
    <s v="dgrittonq0@nydailynews.com"/>
    <x v="0"/>
    <x v="1"/>
    <s v="M"/>
    <x v="0"/>
    <n v="13.75"/>
    <n v="41.25"/>
    <s v="Excelsa"/>
    <x v="0"/>
    <x v="0"/>
  </r>
  <r>
    <s v="EHE-94714-312"/>
    <x v="382"/>
    <s v="27132-68907-RC"/>
    <s v="E-L-0.2"/>
    <n v="5"/>
    <x v="438"/>
    <s v="rfaltinqb@topsy.com"/>
    <x v="0"/>
    <x v="1"/>
    <s v="L"/>
    <x v="3"/>
    <n v="4.4550000000000001"/>
    <n v="22.274999999999999"/>
    <s v="Excelsa"/>
    <x v="1"/>
    <x v="0"/>
  </r>
  <r>
    <s v="RTL-16205-161"/>
    <x v="11"/>
    <s v="90440-62727-HI"/>
    <s v="A-M-0.5"/>
    <n v="1"/>
    <x v="439"/>
    <s v="gsiudaq4@nytimes.com"/>
    <x v="0"/>
    <x v="2"/>
    <s v="M"/>
    <x v="1"/>
    <n v="6.75"/>
    <n v="6.75"/>
    <s v="Arabica"/>
    <x v="0"/>
    <x v="0"/>
  </r>
  <r>
    <s v="GTS-22482-014"/>
    <x v="167"/>
    <s v="36769-16558-SX"/>
    <s v="L-M-2.5"/>
    <n v="4"/>
    <x v="440"/>
    <s v="vpawseyq6@tiny.cc"/>
    <x v="0"/>
    <x v="3"/>
    <s v="M"/>
    <x v="2"/>
    <n v="33.464999999999996"/>
    <n v="133.85999999999999"/>
    <s v="Liberica"/>
    <x v="0"/>
    <x v="0"/>
  </r>
  <r>
    <s v="DYG-25473-881"/>
    <x v="383"/>
    <s v="10138-31681-SD"/>
    <s v="A-D-0.2"/>
    <n v="2"/>
    <x v="441"/>
    <s v="fhaughianq8@1688.com"/>
    <x v="0"/>
    <x v="2"/>
    <s v="D"/>
    <x v="3"/>
    <n v="2.9849999999999999"/>
    <n v="5.97"/>
    <s v="Arabica"/>
    <x v="2"/>
    <x v="1"/>
  </r>
  <r>
    <s v="HTR-21838-286"/>
    <x v="18"/>
    <s v="24669-76297-SF"/>
    <s v="A-L-1"/>
    <n v="2"/>
    <x v="442"/>
    <s v=""/>
    <x v="0"/>
    <x v="2"/>
    <s v="L"/>
    <x v="0"/>
    <n v="12.95"/>
    <n v="25.9"/>
    <s v="Arabica"/>
    <x v="1"/>
    <x v="1"/>
  </r>
  <r>
    <s v="KYG-28296-920"/>
    <x v="84"/>
    <s v="78050-20355-DI"/>
    <s v="E-M-2.5"/>
    <n v="1"/>
    <x v="443"/>
    <s v="gcheekeqc@sitemeter.com"/>
    <x v="1"/>
    <x v="1"/>
    <s v="M"/>
    <x v="2"/>
    <n v="31.624999999999996"/>
    <n v="31.624999999999996"/>
    <s v="Excelsa"/>
    <x v="0"/>
    <x v="0"/>
  </r>
  <r>
    <s v="NNB-20459-430"/>
    <x v="384"/>
    <s v="79825-17822-UH"/>
    <s v="L-M-0.2"/>
    <n v="2"/>
    <x v="444"/>
    <s v=""/>
    <x v="0"/>
    <x v="3"/>
    <s v="M"/>
    <x v="3"/>
    <n v="4.3650000000000002"/>
    <n v="8.73"/>
    <s v="Liberica"/>
    <x v="0"/>
    <x v="1"/>
  </r>
  <r>
    <s v="FEK-14025-351"/>
    <x v="385"/>
    <s v="03990-21586-MQ"/>
    <s v="E-L-0.2"/>
    <n v="6"/>
    <x v="445"/>
    <s v="jdrengqg@uiuc.edu"/>
    <x v="0"/>
    <x v="1"/>
    <s v="L"/>
    <x v="3"/>
    <n v="4.4550000000000001"/>
    <n v="26.73"/>
    <s v="Excelsa"/>
    <x v="1"/>
    <x v="0"/>
  </r>
  <r>
    <s v="AWH-16980-469"/>
    <x v="386"/>
    <s v="27493-46921-TZ"/>
    <s v="L-M-0.2"/>
    <n v="6"/>
    <x v="446"/>
    <s v="clampelqi@jimdo.com"/>
    <x v="0"/>
    <x v="3"/>
    <s v="M"/>
    <x v="3"/>
    <n v="4.3650000000000002"/>
    <n v="26.19"/>
    <s v="Liberica"/>
    <x v="0"/>
    <x v="1"/>
  </r>
  <r>
    <s v="ZPW-31329-741"/>
    <x v="387"/>
    <s v="27132-68907-RC"/>
    <s v="R-D-1"/>
    <n v="6"/>
    <x v="438"/>
    <s v="edearmanqk@redcross.org"/>
    <x v="0"/>
    <x v="0"/>
    <s v="D"/>
    <x v="0"/>
    <n v="8.9499999999999993"/>
    <n v="53.699999999999996"/>
    <s v="Robusta"/>
    <x v="2"/>
    <x v="0"/>
  </r>
  <r>
    <s v="ZPW-31329-741"/>
    <x v="387"/>
    <s v="27132-68907-RC"/>
    <s v="E-M-2.5"/>
    <n v="4"/>
    <x v="438"/>
    <s v="dlenardql@bizjournals.com"/>
    <x v="0"/>
    <x v="1"/>
    <s v="M"/>
    <x v="2"/>
    <n v="31.624999999999996"/>
    <n v="126.49999999999999"/>
    <s v="Excelsa"/>
    <x v="0"/>
    <x v="0"/>
  </r>
  <r>
    <s v="ZPW-31329-741"/>
    <x v="387"/>
    <s v="27132-68907-RC"/>
    <s v="E-M-0.2"/>
    <n v="1"/>
    <x v="438"/>
    <s v="ltoffanoqm@tripadvisor.com"/>
    <x v="0"/>
    <x v="1"/>
    <s v="M"/>
    <x v="3"/>
    <n v="4.125"/>
    <n v="4.125"/>
    <s v="Excelsa"/>
    <x v="0"/>
    <x v="0"/>
  </r>
  <r>
    <s v="UBI-83843-396"/>
    <x v="388"/>
    <s v="58816-74064-TF"/>
    <s v="R-L-1"/>
    <n v="2"/>
    <x v="447"/>
    <s v="mrocksqq@exblog.jp"/>
    <x v="2"/>
    <x v="0"/>
    <s v="L"/>
    <x v="0"/>
    <n v="11.95"/>
    <n v="23.9"/>
    <s v="Robusta"/>
    <x v="1"/>
    <x v="1"/>
  </r>
  <r>
    <s v="VID-40587-569"/>
    <x v="389"/>
    <s v="09818-59895-EH"/>
    <s v="E-D-2.5"/>
    <n v="5"/>
    <x v="448"/>
    <s v="cgoodrumqs@goodreads.com"/>
    <x v="0"/>
    <x v="1"/>
    <s v="D"/>
    <x v="2"/>
    <n v="27.945"/>
    <n v="139.72499999999999"/>
    <s v="Excelsa"/>
    <x v="2"/>
    <x v="0"/>
  </r>
  <r>
    <s v="KBB-52530-416"/>
    <x v="229"/>
    <s v="06488-46303-IZ"/>
    <s v="L-D-2.5"/>
    <n v="2"/>
    <x v="449"/>
    <s v="bwardellqu@adobe.com"/>
    <x v="0"/>
    <x v="3"/>
    <s v="D"/>
    <x v="2"/>
    <n v="29.784999999999997"/>
    <n v="59.569999999999993"/>
    <s v="Liberica"/>
    <x v="2"/>
    <x v="0"/>
  </r>
  <r>
    <s v="ISJ-48676-420"/>
    <x v="390"/>
    <s v="93046-67561-AY"/>
    <s v="L-L-0.5"/>
    <n v="6"/>
    <x v="450"/>
    <s v="wleopoldqw@blogspot.com"/>
    <x v="0"/>
    <x v="3"/>
    <s v="L"/>
    <x v="1"/>
    <n v="9.51"/>
    <n v="57.06"/>
    <s v="Liberica"/>
    <x v="1"/>
    <x v="1"/>
  </r>
  <r>
    <s v="MIF-17920-768"/>
    <x v="391"/>
    <s v="68946-40750-LK"/>
    <s v="R-L-0.2"/>
    <n v="6"/>
    <x v="451"/>
    <s v=""/>
    <x v="1"/>
    <x v="0"/>
    <s v="L"/>
    <x v="3"/>
    <n v="3.5849999999999995"/>
    <n v="21.509999999999998"/>
    <s v="Robusta"/>
    <x v="1"/>
    <x v="0"/>
  </r>
  <r>
    <s v="CPX-19312-088"/>
    <x v="117"/>
    <s v="38387-64959-WW"/>
    <s v="L-M-0.5"/>
    <n v="6"/>
    <x v="452"/>
    <s v=""/>
    <x v="1"/>
    <x v="3"/>
    <s v="M"/>
    <x v="1"/>
    <n v="8.73"/>
    <n v="52.38"/>
    <s v="Liberica"/>
    <x v="0"/>
    <x v="0"/>
  </r>
  <r>
    <s v="RXI-67978-260"/>
    <x v="392"/>
    <s v="48418-60841-CC"/>
    <s v="E-D-1"/>
    <n v="6"/>
    <x v="453"/>
    <s v="sroseboroughr2@virginia.edu"/>
    <x v="1"/>
    <x v="1"/>
    <s v="D"/>
    <x v="0"/>
    <n v="12.15"/>
    <n v="72.900000000000006"/>
    <s v="Excelsa"/>
    <x v="2"/>
    <x v="1"/>
  </r>
  <r>
    <s v="LKE-14821-285"/>
    <x v="393"/>
    <s v="13736-92418-JS"/>
    <s v="R-M-0.2"/>
    <n v="5"/>
    <x v="454"/>
    <s v="kcantor4@gmpg.org"/>
    <x v="1"/>
    <x v="0"/>
    <s v="M"/>
    <x v="3"/>
    <n v="2.9849999999999999"/>
    <n v="14.924999999999999"/>
    <s v="Robusta"/>
    <x v="0"/>
    <x v="0"/>
  </r>
  <r>
    <s v="LRK-97117-150"/>
    <x v="394"/>
    <s v="33000-22405-LO"/>
    <s v="L-L-1"/>
    <n v="6"/>
    <x v="455"/>
    <s v="dgooderridger6@lycos.com"/>
    <x v="0"/>
    <x v="3"/>
    <s v="L"/>
    <x v="0"/>
    <n v="15.85"/>
    <n v="95.1"/>
    <s v="Liberica"/>
    <x v="1"/>
    <x v="1"/>
  </r>
  <r>
    <s v="IGK-51227-573"/>
    <x v="137"/>
    <s v="46959-60474-LT"/>
    <s v="L-D-0.5"/>
    <n v="2"/>
    <x v="456"/>
    <s v=""/>
    <x v="0"/>
    <x v="3"/>
    <s v="D"/>
    <x v="1"/>
    <n v="7.77"/>
    <n v="15.54"/>
    <s v="Liberica"/>
    <x v="2"/>
    <x v="1"/>
  </r>
  <r>
    <s v="ZAY-43009-775"/>
    <x v="395"/>
    <s v="73431-39823-UP"/>
    <s v="L-D-0.2"/>
    <n v="6"/>
    <x v="457"/>
    <s v="kkemeryra@t.co"/>
    <x v="0"/>
    <x v="3"/>
    <s v="D"/>
    <x v="3"/>
    <n v="3.8849999999999998"/>
    <n v="23.31"/>
    <s v="Liberica"/>
    <x v="2"/>
    <x v="1"/>
  </r>
  <r>
    <s v="EMA-63190-618"/>
    <x v="396"/>
    <s v="90993-98984-JK"/>
    <s v="E-M-0.2"/>
    <n v="1"/>
    <x v="458"/>
    <s v="rcheakrc@tripadvisor.com"/>
    <x v="0"/>
    <x v="1"/>
    <s v="M"/>
    <x v="3"/>
    <n v="4.125"/>
    <n v="4.125"/>
    <s v="Excelsa"/>
    <x v="0"/>
    <x v="0"/>
  </r>
  <r>
    <s v="FBI-35855-418"/>
    <x v="189"/>
    <s v="06552-04430-AG"/>
    <s v="R-M-0.5"/>
    <n v="6"/>
    <x v="459"/>
    <s v="cayrere@symantec.com"/>
    <x v="2"/>
    <x v="0"/>
    <s v="M"/>
    <x v="1"/>
    <n v="5.97"/>
    <n v="35.82"/>
    <s v="Robusta"/>
    <x v="0"/>
    <x v="1"/>
  </r>
  <r>
    <s v="TXB-80533-417"/>
    <x v="8"/>
    <s v="54597-57004-QM"/>
    <s v="L-L-1"/>
    <n v="2"/>
    <x v="460"/>
    <s v=""/>
    <x v="0"/>
    <x v="3"/>
    <s v="L"/>
    <x v="0"/>
    <n v="15.85"/>
    <n v="31.7"/>
    <s v="Liberica"/>
    <x v="1"/>
    <x v="1"/>
  </r>
  <r>
    <s v="MBM-00112-248"/>
    <x v="397"/>
    <s v="50238-24377-ZS"/>
    <s v="L-L-1"/>
    <n v="5"/>
    <x v="461"/>
    <s v="dscrigmourri@cnbc.com"/>
    <x v="0"/>
    <x v="3"/>
    <s v="L"/>
    <x v="0"/>
    <n v="15.85"/>
    <n v="79.25"/>
    <s v="Liberica"/>
    <x v="1"/>
    <x v="0"/>
  </r>
  <r>
    <s v="EUO-69145-988"/>
    <x v="398"/>
    <s v="60370-41934-IF"/>
    <s v="E-D-0.2"/>
    <n v="3"/>
    <x v="462"/>
    <s v=""/>
    <x v="0"/>
    <x v="1"/>
    <s v="D"/>
    <x v="3"/>
    <n v="3.645"/>
    <n v="10.935"/>
    <s v="Excelsa"/>
    <x v="2"/>
    <x v="1"/>
  </r>
  <r>
    <s v="GYA-80327-368"/>
    <x v="399"/>
    <s v="06899-54551-EH"/>
    <s v="A-D-1"/>
    <n v="4"/>
    <x v="463"/>
    <s v=""/>
    <x v="1"/>
    <x v="2"/>
    <s v="D"/>
    <x v="0"/>
    <n v="9.9499999999999993"/>
    <n v="39.799999999999997"/>
    <s v="Arabica"/>
    <x v="2"/>
    <x v="1"/>
  </r>
  <r>
    <s v="TNW-41601-420"/>
    <x v="400"/>
    <s v="66458-91190-YC"/>
    <s v="R-M-1"/>
    <n v="5"/>
    <x v="464"/>
    <s v=""/>
    <x v="1"/>
    <x v="0"/>
    <s v="M"/>
    <x v="0"/>
    <n v="9.9499999999999993"/>
    <n v="49.75"/>
    <s v="Robusta"/>
    <x v="0"/>
    <x v="0"/>
  </r>
  <r>
    <s v="ALR-62963-723"/>
    <x v="401"/>
    <s v="80463-43913-WZ"/>
    <s v="R-D-0.2"/>
    <n v="3"/>
    <x v="465"/>
    <s v="njennyrq@bigcartel.com"/>
    <x v="1"/>
    <x v="0"/>
    <s v="D"/>
    <x v="3"/>
    <n v="2.6849999999999996"/>
    <n v="8.0549999999999997"/>
    <s v="Robusta"/>
    <x v="2"/>
    <x v="0"/>
  </r>
  <r>
    <s v="JIG-27636-870"/>
    <x v="402"/>
    <s v="67204-04870-LG"/>
    <s v="R-L-1"/>
    <n v="4"/>
    <x v="466"/>
    <s v=""/>
    <x v="0"/>
    <x v="0"/>
    <s v="L"/>
    <x v="0"/>
    <n v="11.95"/>
    <n v="47.8"/>
    <s v="Robusta"/>
    <x v="1"/>
    <x v="1"/>
  </r>
  <r>
    <s v="CTE-31437-326"/>
    <x v="6"/>
    <s v="22721-63196-UJ"/>
    <s v="R-M-0.2"/>
    <n v="4"/>
    <x v="467"/>
    <s v=""/>
    <x v="2"/>
    <x v="0"/>
    <s v="M"/>
    <x v="3"/>
    <n v="2.9849999999999999"/>
    <n v="11.94"/>
    <s v="Robusta"/>
    <x v="0"/>
    <x v="1"/>
  </r>
  <r>
    <s v="CTE-31437-326"/>
    <x v="6"/>
    <s v="22721-63196-UJ"/>
    <s v="E-M-0.2"/>
    <n v="4"/>
    <x v="467"/>
    <s v=""/>
    <x v="2"/>
    <x v="1"/>
    <s v="M"/>
    <x v="3"/>
    <n v="4.125"/>
    <n v="16.5"/>
    <s v="Excelsa"/>
    <x v="0"/>
    <x v="1"/>
  </r>
  <r>
    <s v="CTE-31437-326"/>
    <x v="6"/>
    <s v="22721-63196-UJ"/>
    <s v="L-D-1"/>
    <n v="4"/>
    <x v="467"/>
    <s v=""/>
    <x v="2"/>
    <x v="3"/>
    <s v="D"/>
    <x v="0"/>
    <n v="12.95"/>
    <n v="51.8"/>
    <s v="Liberica"/>
    <x v="2"/>
    <x v="1"/>
  </r>
  <r>
    <s v="CTE-31437-326"/>
    <x v="6"/>
    <s v="22721-63196-UJ"/>
    <s v="L-L-0.2"/>
    <n v="3"/>
    <x v="467"/>
    <s v=""/>
    <x v="2"/>
    <x v="3"/>
    <s v="L"/>
    <x v="3"/>
    <n v="4.7549999999999999"/>
    <n v="14.265000000000001"/>
    <s v="Liberica"/>
    <x v="1"/>
    <x v="1"/>
  </r>
  <r>
    <s v="SLD-63003-334"/>
    <x v="403"/>
    <s v="55515-37571-RS"/>
    <s v="L-M-0.2"/>
    <n v="6"/>
    <x v="468"/>
    <s v=""/>
    <x v="0"/>
    <x v="3"/>
    <s v="M"/>
    <x v="3"/>
    <n v="4.3650000000000002"/>
    <n v="26.19"/>
    <s v="Liberica"/>
    <x v="0"/>
    <x v="1"/>
  </r>
  <r>
    <s v="BXN-64230-789"/>
    <x v="404"/>
    <s v="25598-77476-CB"/>
    <s v="A-L-1"/>
    <n v="2"/>
    <x v="469"/>
    <s v=""/>
    <x v="0"/>
    <x v="2"/>
    <s v="L"/>
    <x v="0"/>
    <n v="12.95"/>
    <n v="25.9"/>
    <s v="Arabica"/>
    <x v="1"/>
    <x v="0"/>
  </r>
  <r>
    <s v="XEE-37895-169"/>
    <x v="21"/>
    <s v="14888-85625-TM"/>
    <s v="A-L-2.5"/>
    <n v="3"/>
    <x v="470"/>
    <s v=""/>
    <x v="0"/>
    <x v="2"/>
    <s v="L"/>
    <x v="2"/>
    <n v="29.784999999999997"/>
    <n v="89.35499999999999"/>
    <s v="Arabica"/>
    <x v="1"/>
    <x v="0"/>
  </r>
  <r>
    <s v="ZTX-80764-911"/>
    <x v="239"/>
    <s v="92793-68332-NR"/>
    <s v="L-D-0.5"/>
    <n v="6"/>
    <x v="471"/>
    <s v=""/>
    <x v="1"/>
    <x v="3"/>
    <s v="D"/>
    <x v="1"/>
    <n v="7.77"/>
    <n v="46.62"/>
    <s v="Liberica"/>
    <x v="2"/>
    <x v="1"/>
  </r>
  <r>
    <s v="WVT-88135-549"/>
    <x v="405"/>
    <s v="66458-91190-YC"/>
    <s v="A-D-1"/>
    <n v="3"/>
    <x v="464"/>
    <s v=""/>
    <x v="1"/>
    <x v="2"/>
    <s v="D"/>
    <x v="0"/>
    <n v="9.9499999999999993"/>
    <n v="29.849999999999998"/>
    <s v="Arabica"/>
    <x v="2"/>
    <x v="0"/>
  </r>
  <r>
    <s v="IPA-94170-889"/>
    <x v="292"/>
    <s v="64439-27325-LG"/>
    <s v="R-L-0.2"/>
    <n v="3"/>
    <x v="472"/>
    <s v=""/>
    <x v="1"/>
    <x v="0"/>
    <s v="L"/>
    <x v="3"/>
    <n v="3.5849999999999995"/>
    <n v="10.754999999999999"/>
    <s v="Robusta"/>
    <x v="1"/>
    <x v="0"/>
  </r>
  <r>
    <s v="YQL-63755-365"/>
    <x v="117"/>
    <s v="78570-76770-LB"/>
    <s v="A-M-0.2"/>
    <n v="4"/>
    <x v="473"/>
    <s v=""/>
    <x v="0"/>
    <x v="2"/>
    <s v="M"/>
    <x v="3"/>
    <n v="3.375"/>
    <n v="13.5"/>
    <s v="Arabica"/>
    <x v="0"/>
    <x v="0"/>
  </r>
  <r>
    <s v="RKW-81145-984"/>
    <x v="406"/>
    <s v="98661-69719-VI"/>
    <s v="L-L-1"/>
    <n v="3"/>
    <x v="474"/>
    <s v=""/>
    <x v="0"/>
    <x v="3"/>
    <s v="L"/>
    <x v="0"/>
    <n v="15.85"/>
    <n v="47.55"/>
    <s v="Liberica"/>
    <x v="1"/>
    <x v="1"/>
  </r>
  <r>
    <s v="MBT-23379-866"/>
    <x v="407"/>
    <s v="82990-92703-IX"/>
    <s v="L-L-1"/>
    <n v="5"/>
    <x v="475"/>
    <s v=""/>
    <x v="0"/>
    <x v="3"/>
    <s v="L"/>
    <x v="0"/>
    <n v="15.85"/>
    <n v="79.25"/>
    <s v="Liberica"/>
    <x v="1"/>
    <x v="1"/>
  </r>
  <r>
    <s v="GEJ-39834-935"/>
    <x v="408"/>
    <s v="49412-86877-VY"/>
    <s v="L-M-0.2"/>
    <n v="6"/>
    <x v="476"/>
    <s v=""/>
    <x v="0"/>
    <x v="3"/>
    <s v="M"/>
    <x v="3"/>
    <n v="4.3650000000000002"/>
    <n v="26.19"/>
    <s v="Liberica"/>
    <x v="0"/>
    <x v="0"/>
  </r>
  <r>
    <s v="KRW-91640-596"/>
    <x v="409"/>
    <s v="70879-00984-FJ"/>
    <s v="R-L-0.5"/>
    <n v="3"/>
    <x v="477"/>
    <s v=""/>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
    <x v="0"/>
    <x v="1"/>
    <s v="D"/>
    <x v="2"/>
    <n v="27.945"/>
    <n v="139.72499999999999"/>
    <s v="Excelsa"/>
    <x v="2"/>
    <x v="1"/>
  </r>
  <r>
    <s v="ZIL-34948-499"/>
    <x v="112"/>
    <s v="66458-91190-YC"/>
    <s v="A-D-0.5"/>
    <n v="2"/>
    <x v="464"/>
    <s v=""/>
    <x v="1"/>
    <x v="2"/>
    <s v="D"/>
    <x v="1"/>
    <n v="5.97"/>
    <n v="11.94"/>
    <s v="Arabica"/>
    <x v="2"/>
    <x v="0"/>
  </r>
  <r>
    <s v="JSU-23781-256"/>
    <x v="412"/>
    <s v="76499-89100-JQ"/>
    <s v="L-D-0.2"/>
    <n v="1"/>
    <x v="481"/>
    <s v=""/>
    <x v="0"/>
    <x v="3"/>
    <s v="D"/>
    <x v="3"/>
    <n v="3.8849999999999998"/>
    <n v="3.8849999999999998"/>
    <s v="Liberica"/>
    <x v="2"/>
    <x v="1"/>
  </r>
  <r>
    <s v="JSU-23781-256"/>
    <x v="412"/>
    <s v="76499-89100-JQ"/>
    <s v="R-M-1"/>
    <n v="4"/>
    <x v="481"/>
    <s v=""/>
    <x v="0"/>
    <x v="0"/>
    <s v="M"/>
    <x v="0"/>
    <n v="9.9499999999999993"/>
    <n v="39.799999999999997"/>
    <s v="Robusta"/>
    <x v="0"/>
    <x v="1"/>
  </r>
  <r>
    <s v="VPX-44956-367"/>
    <x v="413"/>
    <s v="39582-35773-ZJ"/>
    <s v="R-M-0.5"/>
    <n v="5"/>
    <x v="482"/>
    <s v=""/>
    <x v="0"/>
    <x v="0"/>
    <s v="M"/>
    <x v="1"/>
    <n v="5.97"/>
    <n v="29.849999999999998"/>
    <s v="Robusta"/>
    <x v="0"/>
    <x v="1"/>
  </r>
  <r>
    <s v="VTB-46451-959"/>
    <x v="414"/>
    <s v="66240-46962-IO"/>
    <s v="L-D-2.5"/>
    <n v="1"/>
    <x v="483"/>
    <s v=""/>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
    <x v="0"/>
    <x v="1"/>
    <s v="M"/>
    <x v="2"/>
    <n v="31.624999999999996"/>
    <n v="126.49999999999999"/>
    <s v="Excelsa"/>
    <x v="0"/>
    <x v="0"/>
  </r>
  <r>
    <s v="BPG-68988-842"/>
    <x v="418"/>
    <s v="53631-24432-SY"/>
    <s v="E-M-0.5"/>
    <n v="5"/>
    <x v="487"/>
    <s v=""/>
    <x v="2"/>
    <x v="1"/>
    <s v="M"/>
    <x v="1"/>
    <n v="8.25"/>
    <n v="41.25"/>
    <s v="Excelsa"/>
    <x v="0"/>
    <x v="1"/>
  </r>
  <r>
    <s v="XZG-51938-658"/>
    <x v="419"/>
    <s v="18275-73980-KL"/>
    <s v="E-L-0.5"/>
    <n v="6"/>
    <x v="488"/>
    <s v=""/>
    <x v="0"/>
    <x v="1"/>
    <s v="L"/>
    <x v="1"/>
    <n v="8.91"/>
    <n v="53.46"/>
    <s v="Excelsa"/>
    <x v="1"/>
    <x v="1"/>
  </r>
  <r>
    <s v="KAR-24978-271"/>
    <x v="420"/>
    <s v="23187-65750-HZ"/>
    <s v="R-M-1"/>
    <n v="6"/>
    <x v="489"/>
    <s v=""/>
    <x v="0"/>
    <x v="0"/>
    <s v="M"/>
    <x v="0"/>
    <n v="9.9499999999999993"/>
    <n v="59.699999999999996"/>
    <s v="Robusta"/>
    <x v="0"/>
    <x v="1"/>
  </r>
  <r>
    <s v="FQK-28730-361"/>
    <x v="421"/>
    <s v="22725-79522-GP"/>
    <s v="R-M-1"/>
    <n v="6"/>
    <x v="490"/>
    <s v=""/>
    <x v="0"/>
    <x v="0"/>
    <s v="M"/>
    <x v="0"/>
    <n v="9.9499999999999993"/>
    <n v="59.699999999999996"/>
    <s v="Robusta"/>
    <x v="0"/>
    <x v="1"/>
  </r>
  <r>
    <s v="BGB-67996-089"/>
    <x v="422"/>
    <s v="06279-72603-JE"/>
    <s v="R-D-1"/>
    <n v="5"/>
    <x v="491"/>
    <s v=""/>
    <x v="0"/>
    <x v="0"/>
    <s v="D"/>
    <x v="0"/>
    <n v="8.9499999999999993"/>
    <n v="44.75"/>
    <s v="Robusta"/>
    <x v="2"/>
    <x v="1"/>
  </r>
  <r>
    <s v="XMC-20620-809"/>
    <x v="423"/>
    <s v="83543-79246-ON"/>
    <s v="E-M-0.5"/>
    <n v="2"/>
    <x v="492"/>
    <s v=""/>
    <x v="0"/>
    <x v="1"/>
    <s v="M"/>
    <x v="1"/>
    <n v="8.25"/>
    <n v="16.5"/>
    <s v="Excelsa"/>
    <x v="0"/>
    <x v="0"/>
  </r>
  <r>
    <s v="ZSO-58292-191"/>
    <x v="109"/>
    <s v="66794-66795-VW"/>
    <s v="R-D-0.5"/>
    <n v="4"/>
    <x v="493"/>
    <s v=""/>
    <x v="0"/>
    <x v="0"/>
    <s v="D"/>
    <x v="1"/>
    <n v="5.3699999999999992"/>
    <n v="21.479999999999997"/>
    <s v="Robusta"/>
    <x v="2"/>
    <x v="1"/>
  </r>
  <r>
    <s v="LWJ-06793-303"/>
    <x v="204"/>
    <s v="95424-67020-AP"/>
    <s v="R-M-2.5"/>
    <n v="2"/>
    <x v="494"/>
    <s 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
    <x v="1"/>
    <x v="0"/>
    <s v="D"/>
    <x v="3"/>
    <n v="2.6849999999999996"/>
    <n v="8.0549999999999997"/>
    <s v="Robusta"/>
    <x v="2"/>
    <x v="0"/>
  </r>
  <r>
    <s v="OGW-60685-912"/>
    <x v="224"/>
    <s v="67423-10113-LM"/>
    <s v="E-D-2.5"/>
    <n v="4"/>
    <x v="496"/>
    <s v=""/>
    <x v="0"/>
    <x v="1"/>
    <s v="D"/>
    <x v="2"/>
    <n v="27.945"/>
    <n v="111.78"/>
    <s v="Excelsa"/>
    <x v="2"/>
    <x v="0"/>
  </r>
  <r>
    <s v="DEC-11160-362"/>
    <x v="220"/>
    <s v="48582-05061-RY"/>
    <s v="R-D-0.2"/>
    <n v="4"/>
    <x v="497"/>
    <s v=""/>
    <x v="0"/>
    <x v="0"/>
    <s v="D"/>
    <x v="3"/>
    <n v="2.6849999999999996"/>
    <n v="10.739999999999998"/>
    <s v="Robusta"/>
    <x v="2"/>
    <x v="0"/>
  </r>
  <r>
    <s v="WCT-07869-499"/>
    <x v="91"/>
    <s v="32031-49093-KE"/>
    <s v="R-D-0.5"/>
    <n v="5"/>
    <x v="498"/>
    <s v=""/>
    <x v="0"/>
    <x v="0"/>
    <s v="D"/>
    <x v="1"/>
    <n v="5.3699999999999992"/>
    <n v="26.849999999999994"/>
    <s v="Robusta"/>
    <x v="2"/>
    <x v="1"/>
  </r>
  <r>
    <s v="FHD-89872-325"/>
    <x v="425"/>
    <s v="31715-98714-OO"/>
    <s v="L-L-1"/>
    <n v="4"/>
    <x v="499"/>
    <s v=""/>
    <x v="0"/>
    <x v="3"/>
    <s v="L"/>
    <x v="0"/>
    <n v="15.85"/>
    <n v="63.4"/>
    <s v="Liberica"/>
    <x v="1"/>
    <x v="0"/>
  </r>
  <r>
    <s v="AZF-45991-584"/>
    <x v="426"/>
    <s v="73759-17258-KA"/>
    <s v="A-D-2.5"/>
    <n v="1"/>
    <x v="500"/>
    <s v=""/>
    <x v="1"/>
    <x v="2"/>
    <s v="D"/>
    <x v="2"/>
    <n v="22.884999999999998"/>
    <n v="22.884999999999998"/>
    <s v="Arabica"/>
    <x v="2"/>
    <x v="0"/>
  </r>
  <r>
    <s v="MDG-14481-513"/>
    <x v="427"/>
    <s v="64897-79178-MH"/>
    <s v="A-M-2.5"/>
    <n v="4"/>
    <x v="501"/>
    <s v=""/>
    <x v="0"/>
    <x v="2"/>
    <s v="M"/>
    <x v="2"/>
    <n v="25.874999999999996"/>
    <n v="103.49999999999999"/>
    <s v="Arabica"/>
    <x v="0"/>
    <x v="1"/>
  </r>
  <r>
    <s v="OFN-49424-848"/>
    <x v="428"/>
    <s v="73346-85564-JB"/>
    <s v="R-L-2.5"/>
    <n v="2"/>
    <x v="502"/>
    <s v=""/>
    <x v="0"/>
    <x v="0"/>
    <s v="L"/>
    <x v="2"/>
    <n v="27.484999999999996"/>
    <n v="54.969999999999992"/>
    <s v="Robusta"/>
    <x v="1"/>
    <x v="1"/>
  </r>
  <r>
    <s v="NFA-03411-746"/>
    <x v="383"/>
    <s v="07476-13102-NJ"/>
    <s v="A-L-0.5"/>
    <n v="2"/>
    <x v="503"/>
    <s v=""/>
    <x v="0"/>
    <x v="2"/>
    <s v="L"/>
    <x v="1"/>
    <n v="7.77"/>
    <n v="15.54"/>
    <s v="Arabica"/>
    <x v="1"/>
    <x v="1"/>
  </r>
  <r>
    <s v="CYM-74988-450"/>
    <x v="156"/>
    <s v="87223-37422-SK"/>
    <s v="L-D-0.2"/>
    <n v="4"/>
    <x v="504"/>
    <s v=""/>
    <x v="2"/>
    <x v="3"/>
    <s v="D"/>
    <x v="3"/>
    <n v="3.8849999999999998"/>
    <n v="15.54"/>
    <s v="Liberica"/>
    <x v="2"/>
    <x v="1"/>
  </r>
  <r>
    <s v="WTV-24996-658"/>
    <x v="429"/>
    <s v="57837-15577-YK"/>
    <s v="E-D-2.5"/>
    <n v="3"/>
    <x v="505"/>
    <s v=""/>
    <x v="1"/>
    <x v="1"/>
    <s v="D"/>
    <x v="2"/>
    <n v="27.945"/>
    <n v="83.835000000000008"/>
    <s v="Excelsa"/>
    <x v="2"/>
    <x v="1"/>
  </r>
  <r>
    <s v="DSL-69915-544"/>
    <x v="103"/>
    <s v="10142-55267-YO"/>
    <s v="R-L-0.2"/>
    <n v="3"/>
    <x v="506"/>
    <s v=""/>
    <x v="0"/>
    <x v="0"/>
    <s v="L"/>
    <x v="3"/>
    <n v="3.5849999999999995"/>
    <n v="10.754999999999999"/>
    <s v="Robusta"/>
    <x v="1"/>
    <x v="0"/>
  </r>
  <r>
    <s v="NBT-35757-542"/>
    <x v="361"/>
    <s v="73647-66148-VM"/>
    <s v="E-L-0.2"/>
    <n v="3"/>
    <x v="507"/>
    <s v=""/>
    <x v="0"/>
    <x v="1"/>
    <s v="L"/>
    <x v="3"/>
    <n v="4.4550000000000001"/>
    <n v="13.365"/>
    <s v="Excelsa"/>
    <x v="1"/>
    <x v="0"/>
  </r>
  <r>
    <s v="OYU-25085-528"/>
    <x v="120"/>
    <s v="10142-55267-YO"/>
    <s v="E-L-0.2"/>
    <n v="4"/>
    <x v="506"/>
    <s v=""/>
    <x v="0"/>
    <x v="1"/>
    <s v="L"/>
    <x v="3"/>
    <n v="4.4550000000000001"/>
    <n v="17.82"/>
    <s v="Excelsa"/>
    <x v="1"/>
    <x v="0"/>
  </r>
  <r>
    <s v="XCG-07109-195"/>
    <x v="430"/>
    <s v="92976-19453-DT"/>
    <s v="L-D-0.2"/>
    <n v="6"/>
    <x v="508"/>
    <s v=""/>
    <x v="0"/>
    <x v="3"/>
    <s v="D"/>
    <x v="3"/>
    <n v="3.8849999999999998"/>
    <n v="23.31"/>
    <s v="Liberica"/>
    <x v="2"/>
    <x v="0"/>
  </r>
  <r>
    <s v="YZA-25234-630"/>
    <x v="125"/>
    <s v="89757-51438-HX"/>
    <s v="E-D-0.2"/>
    <n v="2"/>
    <x v="509"/>
    <s v=""/>
    <x v="0"/>
    <x v="1"/>
    <s v="D"/>
    <x v="3"/>
    <n v="3.645"/>
    <n v="7.29"/>
    <s v="Excelsa"/>
    <x v="2"/>
    <x v="1"/>
  </r>
  <r>
    <s v="OKU-29966-417"/>
    <x v="431"/>
    <s v="76192-13390-HZ"/>
    <s v="E-L-0.2"/>
    <n v="4"/>
    <x v="510"/>
    <s v=""/>
    <x v="2"/>
    <x v="1"/>
    <s v="L"/>
    <x v="3"/>
    <n v="4.4550000000000001"/>
    <n v="17.82"/>
    <s v="Excelsa"/>
    <x v="1"/>
    <x v="0"/>
  </r>
  <r>
    <s v="MEX-29350-659"/>
    <x v="40"/>
    <s v="02009-87294-SY"/>
    <s v="E-M-1"/>
    <n v="5"/>
    <x v="511"/>
    <s v=""/>
    <x v="0"/>
    <x v="1"/>
    <s v="M"/>
    <x v="0"/>
    <n v="13.75"/>
    <n v="68.75"/>
    <s v="Excelsa"/>
    <x v="0"/>
    <x v="1"/>
  </r>
  <r>
    <s v="NOY-99738-977"/>
    <x v="432"/>
    <s v="82872-34456-LJ"/>
    <s v="R-L-2.5"/>
    <n v="2"/>
    <x v="512"/>
    <s v=""/>
    <x v="2"/>
    <x v="0"/>
    <s v="L"/>
    <x v="2"/>
    <n v="27.484999999999996"/>
    <n v="54.969999999999992"/>
    <s v="Robusta"/>
    <x v="1"/>
    <x v="0"/>
  </r>
  <r>
    <s v="TCR-01064-030"/>
    <x v="254"/>
    <s v="13181-04387-LI"/>
    <s v="E-M-1"/>
    <n v="6"/>
    <x v="513"/>
    <s v=""/>
    <x v="1"/>
    <x v="1"/>
    <s v="M"/>
    <x v="0"/>
    <n v="13.75"/>
    <n v="82.5"/>
    <s v="Excelsa"/>
    <x v="0"/>
    <x v="1"/>
  </r>
  <r>
    <s v="YUL-42750-776"/>
    <x v="219"/>
    <s v="24845-36117-TI"/>
    <s v="L-M-0.2"/>
    <n v="2"/>
    <x v="514"/>
    <s v=""/>
    <x v="0"/>
    <x v="3"/>
    <s v="M"/>
    <x v="3"/>
    <n v="4.3650000000000002"/>
    <n v="8.73"/>
    <s v="Liberica"/>
    <x v="0"/>
    <x v="0"/>
  </r>
  <r>
    <s v="XQJ-86887-506"/>
    <x v="433"/>
    <s v="66458-91190-YC"/>
    <s v="E-L-1"/>
    <n v="4"/>
    <x v="464"/>
    <s v=""/>
    <x v="1"/>
    <x v="1"/>
    <s v="L"/>
    <x v="0"/>
    <n v="14.85"/>
    <n v="59.4"/>
    <s v="Excelsa"/>
    <x v="1"/>
    <x v="0"/>
  </r>
  <r>
    <s v="CUN-90044-279"/>
    <x v="434"/>
    <s v="86646-65810-TD"/>
    <s v="L-D-0.2"/>
    <n v="4"/>
    <x v="515"/>
    <s v=""/>
    <x v="0"/>
    <x v="3"/>
    <s v="D"/>
    <x v="3"/>
    <n v="3.8849999999999998"/>
    <n v="15.54"/>
    <s v="Liberica"/>
    <x v="2"/>
    <x v="0"/>
  </r>
  <r>
    <s v="ICC-73030-502"/>
    <x v="435"/>
    <s v="59480-02795-IU"/>
    <s v="A-L-1"/>
    <n v="3"/>
    <x v="516"/>
    <s 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
    <x v="2"/>
    <x v="3"/>
    <s v="L"/>
    <x v="3"/>
    <n v="4.7549999999999999"/>
    <n v="28.53"/>
    <s v="Liberica"/>
    <x v="1"/>
    <x v="1"/>
  </r>
  <r>
    <s v="SPF-31673-217"/>
    <x v="439"/>
    <s v="19485-98072-PS"/>
    <s v="E-M-1"/>
    <n v="6"/>
    <x v="520"/>
    <s v=""/>
    <x v="2"/>
    <x v="1"/>
    <s v="M"/>
    <x v="0"/>
    <n v="13.75"/>
    <n v="82.5"/>
    <s v="Excelsa"/>
    <x v="0"/>
    <x v="1"/>
  </r>
  <r>
    <s v="NEX-63825-598"/>
    <x v="175"/>
    <s v="72072-33025-SD"/>
    <s v="R-L-0.5"/>
    <n v="2"/>
    <x v="521"/>
    <s v=""/>
    <x v="0"/>
    <x v="0"/>
    <s v="L"/>
    <x v="1"/>
    <n v="7.169999999999999"/>
    <n v="14.339999999999998"/>
    <s v="Robusta"/>
    <x v="1"/>
    <x v="1"/>
  </r>
  <r>
    <s v="XPG-66112-335"/>
    <x v="440"/>
    <s v="58118-22461-GC"/>
    <s v="R-D-2.5"/>
    <n v="4"/>
    <x v="522"/>
    <s v=""/>
    <x v="0"/>
    <x v="0"/>
    <s v="D"/>
    <x v="2"/>
    <n v="20.584999999999997"/>
    <n v="82.339999999999989"/>
    <s v="Robusta"/>
    <x v="2"/>
    <x v="1"/>
  </r>
  <r>
    <s v="NSQ-72210-345"/>
    <x v="441"/>
    <s v="90940-63327-DJ"/>
    <s v="A-M-0.2"/>
    <n v="6"/>
    <x v="523"/>
    <s v=""/>
    <x v="0"/>
    <x v="2"/>
    <s v="M"/>
    <x v="3"/>
    <n v="3.375"/>
    <n v="20.25"/>
    <s v="Arabica"/>
    <x v="0"/>
    <x v="0"/>
  </r>
  <r>
    <s v="XRR-28376-277"/>
    <x v="442"/>
    <s v="64481-42546-II"/>
    <s v="R-L-2.5"/>
    <n v="6"/>
    <x v="524"/>
    <s v=""/>
    <x v="1"/>
    <x v="0"/>
    <s v="L"/>
    <x v="2"/>
    <n v="27.484999999999996"/>
    <n v="164.90999999999997"/>
    <s v="Robusta"/>
    <x v="1"/>
    <x v="1"/>
  </r>
  <r>
    <s v="WHQ-25197-475"/>
    <x v="443"/>
    <s v="27536-28463-NJ"/>
    <s v="L-L-0.2"/>
    <n v="4"/>
    <x v="525"/>
    <s v=""/>
    <x v="0"/>
    <x v="3"/>
    <s v="L"/>
    <x v="3"/>
    <n v="4.7549999999999999"/>
    <n v="19.02"/>
    <s v="Liberica"/>
    <x v="1"/>
    <x v="0"/>
  </r>
  <r>
    <s v="HMB-30634-745"/>
    <x v="216"/>
    <s v="19485-98072-PS"/>
    <s v="A-D-2.5"/>
    <n v="6"/>
    <x v="520"/>
    <s v=""/>
    <x v="2"/>
    <x v="2"/>
    <s v="D"/>
    <x v="2"/>
    <n v="22.884999999999998"/>
    <n v="137.31"/>
    <s v="Arabica"/>
    <x v="2"/>
    <x v="1"/>
  </r>
  <r>
    <s v="XTL-68000-371"/>
    <x v="444"/>
    <s v="70140-82812-KD"/>
    <s v="A-M-0.5"/>
    <n v="4"/>
    <x v="526"/>
    <s v=""/>
    <x v="0"/>
    <x v="2"/>
    <s v="M"/>
    <x v="1"/>
    <n v="6.75"/>
    <n v="27"/>
    <s v="Arabica"/>
    <x v="0"/>
    <x v="1"/>
  </r>
  <r>
    <s v="YES-51109-625"/>
    <x v="37"/>
    <s v="91895-55605-LS"/>
    <s v="E-L-0.5"/>
    <n v="4"/>
    <x v="527"/>
    <s v=""/>
    <x v="2"/>
    <x v="1"/>
    <s v="L"/>
    <x v="1"/>
    <n v="8.91"/>
    <n v="35.64"/>
    <s v="Excelsa"/>
    <x v="1"/>
    <x v="1"/>
  </r>
  <r>
    <s v="EAY-89850-211"/>
    <x v="445"/>
    <s v="43155-71724-XP"/>
    <s v="A-D-0.2"/>
    <n v="2"/>
    <x v="528"/>
    <s v=""/>
    <x v="0"/>
    <x v="2"/>
    <s v="D"/>
    <x v="3"/>
    <n v="2.9849999999999999"/>
    <n v="5.97"/>
    <s v="Arabica"/>
    <x v="2"/>
    <x v="0"/>
  </r>
  <r>
    <s v="IOQ-84840-827"/>
    <x v="446"/>
    <s v="32038-81174-JF"/>
    <s v="A-M-1"/>
    <n v="6"/>
    <x v="529"/>
    <s v=""/>
    <x v="0"/>
    <x v="2"/>
    <s v="M"/>
    <x v="0"/>
    <n v="11.25"/>
    <n v="67.5"/>
    <s v="Arabica"/>
    <x v="0"/>
    <x v="1"/>
  </r>
  <r>
    <s v="FBD-56220-430"/>
    <x v="245"/>
    <s v="59205-20324-NB"/>
    <s v="R-L-0.2"/>
    <n v="6"/>
    <x v="530"/>
    <s v=""/>
    <x v="0"/>
    <x v="0"/>
    <s v="L"/>
    <x v="3"/>
    <n v="3.5849999999999995"/>
    <n v="21.509999999999998"/>
    <s v="Robusta"/>
    <x v="1"/>
    <x v="0"/>
  </r>
  <r>
    <s v="COV-52659-202"/>
    <x v="447"/>
    <s v="99899-54612-NX"/>
    <s v="L-M-2.5"/>
    <n v="2"/>
    <x v="531"/>
    <s v=""/>
    <x v="0"/>
    <x v="3"/>
    <s v="M"/>
    <x v="2"/>
    <n v="33.464999999999996"/>
    <n v="66.929999999999993"/>
    <s v="Liberica"/>
    <x v="0"/>
    <x v="1"/>
  </r>
  <r>
    <s v="YUO-76652-814"/>
    <x v="448"/>
    <s v="26248-84194-FI"/>
    <s v="A-D-0.2"/>
    <n v="6"/>
    <x v="532"/>
    <s v=""/>
    <x v="0"/>
    <x v="2"/>
    <s v="D"/>
    <x v="3"/>
    <n v="2.9849999999999999"/>
    <n v="17.91"/>
    <s v="Arabica"/>
    <x v="2"/>
    <x v="1"/>
  </r>
  <r>
    <s v="PBT-36926-102"/>
    <x v="344"/>
    <s v="19485-98072-PS"/>
    <s v="L-M-1"/>
    <n v="4"/>
    <x v="520"/>
    <s v=""/>
    <x v="2"/>
    <x v="3"/>
    <s v="M"/>
    <x v="0"/>
    <n v="14.55"/>
    <n v="58.2"/>
    <s v="Liberica"/>
    <x v="0"/>
    <x v="1"/>
  </r>
  <r>
    <s v="BLV-60087-454"/>
    <x v="152"/>
    <s v="84493-71314-WX"/>
    <s v="E-L-0.2"/>
    <n v="3"/>
    <x v="533"/>
    <s v=""/>
    <x v="1"/>
    <x v="1"/>
    <s v="L"/>
    <x v="3"/>
    <n v="4.4550000000000001"/>
    <n v="13.365"/>
    <s v="Excelsa"/>
    <x v="1"/>
    <x v="1"/>
  </r>
  <r>
    <s v="BLV-60087-454"/>
    <x v="152"/>
    <s v="84493-71314-WX"/>
    <s v="A-M-0.5"/>
    <n v="5"/>
    <x v="533"/>
    <s v=""/>
    <x v="1"/>
    <x v="2"/>
    <s v="M"/>
    <x v="1"/>
    <n v="6.75"/>
    <n v="33.75"/>
    <s v="Arabica"/>
    <x v="0"/>
    <x v="1"/>
  </r>
  <r>
    <s v="QYC-63914-195"/>
    <x v="449"/>
    <s v="39789-43945-IV"/>
    <s v="E-L-1"/>
    <n v="3"/>
    <x v="534"/>
    <s v=""/>
    <x v="0"/>
    <x v="1"/>
    <s v="L"/>
    <x v="0"/>
    <n v="14.85"/>
    <n v="44.55"/>
    <s v="Excelsa"/>
    <x v="1"/>
    <x v="0"/>
  </r>
  <r>
    <s v="OIB-77163-890"/>
    <x v="450"/>
    <s v="38972-89678-ZM"/>
    <s v="E-L-0.5"/>
    <n v="5"/>
    <x v="535"/>
    <s v=""/>
    <x v="2"/>
    <x v="1"/>
    <s v="L"/>
    <x v="1"/>
    <n v="8.91"/>
    <n v="44.55"/>
    <s v="Excelsa"/>
    <x v="1"/>
    <x v="0"/>
  </r>
  <r>
    <s v="SGS-87525-238"/>
    <x v="451"/>
    <s v="91465-84526-IJ"/>
    <s v="E-D-1"/>
    <n v="5"/>
    <x v="536"/>
    <s v=""/>
    <x v="0"/>
    <x v="1"/>
    <s v="D"/>
    <x v="0"/>
    <n v="12.15"/>
    <n v="60.75"/>
    <s v="Excelsa"/>
    <x v="2"/>
    <x v="1"/>
  </r>
  <r>
    <s v="GQR-12490-152"/>
    <x v="83"/>
    <s v="22832-98538-RB"/>
    <s v="R-L-0.2"/>
    <n v="1"/>
    <x v="537"/>
    <s v=""/>
    <x v="0"/>
    <x v="0"/>
    <s v="L"/>
    <x v="3"/>
    <n v="3.5849999999999995"/>
    <n v="3.5849999999999995"/>
    <s v="Robusta"/>
    <x v="1"/>
    <x v="0"/>
  </r>
  <r>
    <s v="UOJ-28238-299"/>
    <x v="452"/>
    <s v="30844-91890-ZA"/>
    <s v="R-L-0.2"/>
    <n v="6"/>
    <x v="538"/>
    <s v=""/>
    <x v="0"/>
    <x v="0"/>
    <s v="L"/>
    <x v="3"/>
    <n v="3.5849999999999995"/>
    <n v="21.509999999999998"/>
    <s v="Robusta"/>
    <x v="1"/>
    <x v="1"/>
  </r>
  <r>
    <s v="ETD-58130-674"/>
    <x v="453"/>
    <s v="05325-97750-WP"/>
    <s v="E-M-0.5"/>
    <n v="2"/>
    <x v="539"/>
    <s v=""/>
    <x v="2"/>
    <x v="1"/>
    <s v="M"/>
    <x v="1"/>
    <n v="8.25"/>
    <n v="16.5"/>
    <s v="Excelsa"/>
    <x v="0"/>
    <x v="0"/>
  </r>
  <r>
    <s v="UPF-60123-025"/>
    <x v="454"/>
    <s v="88992-49081-AT"/>
    <s v="R-L-2.5"/>
    <n v="3"/>
    <x v="540"/>
    <s v=""/>
    <x v="0"/>
    <x v="0"/>
    <s v="L"/>
    <x v="2"/>
    <n v="27.484999999999996"/>
    <n v="82.454999999999984"/>
    <s v="Robusta"/>
    <x v="1"/>
    <x v="1"/>
  </r>
  <r>
    <s v="NQS-01613-687"/>
    <x v="455"/>
    <s v="10204-31464-SA"/>
    <s v="L-D-0.5"/>
    <n v="1"/>
    <x v="541"/>
    <s v=""/>
    <x v="0"/>
    <x v="3"/>
    <s v="D"/>
    <x v="1"/>
    <n v="7.77"/>
    <n v="7.77"/>
    <s v="Liberica"/>
    <x v="2"/>
    <x v="0"/>
  </r>
  <r>
    <s v="MGH-36050-573"/>
    <x v="456"/>
    <s v="75156-80911-YT"/>
    <s v="R-M-0.5"/>
    <n v="2"/>
    <x v="542"/>
    <s v=""/>
    <x v="0"/>
    <x v="0"/>
    <s v="M"/>
    <x v="1"/>
    <n v="5.97"/>
    <n v="11.94"/>
    <s v="Robusta"/>
    <x v="0"/>
    <x v="0"/>
  </r>
  <r>
    <s v="UVF-59322-459"/>
    <x v="373"/>
    <s v="53971-49906-PZ"/>
    <s v="E-L-2.5"/>
    <n v="6"/>
    <x v="543"/>
    <s v=""/>
    <x v="0"/>
    <x v="1"/>
    <s v="L"/>
    <x v="2"/>
    <n v="34.154999999999994"/>
    <n v="204.92999999999995"/>
    <s v="Excelsa"/>
    <x v="1"/>
    <x v="1"/>
  </r>
  <r>
    <s v="VET-41158-896"/>
    <x v="457"/>
    <s v="10728-17633-ST"/>
    <s v="E-M-2.5"/>
    <n v="2"/>
    <x v="544"/>
    <s v=""/>
    <x v="0"/>
    <x v="1"/>
    <s v="M"/>
    <x v="2"/>
    <n v="31.624999999999996"/>
    <n v="63.249999999999993"/>
    <s v="Excelsa"/>
    <x v="0"/>
    <x v="0"/>
  </r>
  <r>
    <s v="XYL-52196-459"/>
    <x v="458"/>
    <s v="13549-65017-VE"/>
    <s v="R-D-0.2"/>
    <n v="3"/>
    <x v="545"/>
    <s v=""/>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
    <x v="2"/>
    <x v="1"/>
    <s v="D"/>
    <x v="2"/>
    <n v="27.945"/>
    <n v="27.945"/>
    <s v="Excelsa"/>
    <x v="2"/>
    <x v="0"/>
  </r>
  <r>
    <s v="OLF-77983-457"/>
    <x v="460"/>
    <s v="51901-35210-UI"/>
    <s v="A-L-2.5"/>
    <n v="2"/>
    <x v="547"/>
    <s v=""/>
    <x v="0"/>
    <x v="2"/>
    <s v="L"/>
    <x v="2"/>
    <n v="29.784999999999997"/>
    <n v="59.569999999999993"/>
    <s v="Arabica"/>
    <x v="1"/>
    <x v="1"/>
  </r>
  <r>
    <s v="MVI-04946-827"/>
    <x v="461"/>
    <s v="62483-50867-OM"/>
    <s v="E-L-1"/>
    <n v="1"/>
    <x v="548"/>
    <s v=""/>
    <x v="2"/>
    <x v="1"/>
    <s v="L"/>
    <x v="0"/>
    <n v="14.85"/>
    <n v="14.85"/>
    <s v="Excelsa"/>
    <x v="1"/>
    <x v="1"/>
  </r>
  <r>
    <s v="UOG-94188-104"/>
    <x v="219"/>
    <s v="92753-50029-SD"/>
    <s v="A-M-0.5"/>
    <n v="5"/>
    <x v="549"/>
    <s v=""/>
    <x v="0"/>
    <x v="2"/>
    <s v="M"/>
    <x v="1"/>
    <n v="6.75"/>
    <n v="33.75"/>
    <s v="Arabica"/>
    <x v="0"/>
    <x v="1"/>
  </r>
  <r>
    <s v="DSN-15872-519"/>
    <x v="462"/>
    <s v="53809-98498-SN"/>
    <s v="L-L-2.5"/>
    <n v="4"/>
    <x v="550"/>
    <s v=""/>
    <x v="0"/>
    <x v="3"/>
    <s v="L"/>
    <x v="2"/>
    <n v="36.454999999999998"/>
    <n v="145.82"/>
    <s v="Liberica"/>
    <x v="1"/>
    <x v="0"/>
  </r>
  <r>
    <s v="OUQ-73954-002"/>
    <x v="463"/>
    <s v="66308-13503-KD"/>
    <s v="R-M-0.2"/>
    <n v="4"/>
    <x v="551"/>
    <s v=""/>
    <x v="0"/>
    <x v="0"/>
    <s v="M"/>
    <x v="3"/>
    <n v="2.9849999999999999"/>
    <n v="11.94"/>
    <s v="Robusta"/>
    <x v="0"/>
    <x v="0"/>
  </r>
  <r>
    <s v="LGL-16843-667"/>
    <x v="464"/>
    <s v="82458-87830-JE"/>
    <s v="A-D-0.2"/>
    <n v="4"/>
    <x v="552"/>
    <s v=""/>
    <x v="0"/>
    <x v="2"/>
    <s v="D"/>
    <x v="3"/>
    <n v="2.9849999999999999"/>
    <n v="11.94"/>
    <s v="Arabica"/>
    <x v="2"/>
    <x v="0"/>
  </r>
  <r>
    <s v="TCC-89722-031"/>
    <x v="465"/>
    <s v="41611-34336-WT"/>
    <s v="L-D-0.5"/>
    <n v="1"/>
    <x v="553"/>
    <s v=""/>
    <x v="0"/>
    <x v="3"/>
    <s v="D"/>
    <x v="1"/>
    <n v="7.77"/>
    <n v="7.77"/>
    <s v="Liberica"/>
    <x v="2"/>
    <x v="1"/>
  </r>
  <r>
    <s v="TRA-79507-007"/>
    <x v="466"/>
    <s v="70089-27418-UJ"/>
    <s v="R-L-2.5"/>
    <n v="4"/>
    <x v="554"/>
    <s v=""/>
    <x v="0"/>
    <x v="0"/>
    <s v="L"/>
    <x v="2"/>
    <n v="27.484999999999996"/>
    <n v="109.93999999999998"/>
    <s v="Robusta"/>
    <x v="1"/>
    <x v="0"/>
  </r>
  <r>
    <s v="MZJ-77284-941"/>
    <x v="467"/>
    <s v="99978-56910-BN"/>
    <s v="E-L-0.2"/>
    <n v="5"/>
    <x v="555"/>
    <s v=""/>
    <x v="0"/>
    <x v="1"/>
    <s v="L"/>
    <x v="3"/>
    <n v="4.4550000000000001"/>
    <n v="22.274999999999999"/>
    <s v="Excelsa"/>
    <x v="1"/>
    <x v="0"/>
  </r>
  <r>
    <s v="AXN-57779-891"/>
    <x v="468"/>
    <s v="09668-23340-IC"/>
    <s v="R-M-0.2"/>
    <n v="3"/>
    <x v="556"/>
    <s 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
    <x v="0"/>
    <x v="2"/>
    <s v="L"/>
    <x v="2"/>
    <n v="29.784999999999997"/>
    <n v="148.92499999999998"/>
    <s v="Arabica"/>
    <x v="1"/>
    <x v="0"/>
  </r>
  <r>
    <s v="UMM-28497-689"/>
    <x v="471"/>
    <s v="05325-97750-WP"/>
    <s v="L-L-2.5"/>
    <n v="3"/>
    <x v="539"/>
    <s v=""/>
    <x v="2"/>
    <x v="3"/>
    <s v="L"/>
    <x v="2"/>
    <n v="36.454999999999998"/>
    <n v="109.36499999999999"/>
    <s v="Liberica"/>
    <x v="1"/>
    <x v="0"/>
  </r>
  <r>
    <s v="MJZ-93232-402"/>
    <x v="472"/>
    <s v="17816-67941-ZS"/>
    <s v="E-D-0.2"/>
    <n v="1"/>
    <x v="559"/>
    <s v=""/>
    <x v="0"/>
    <x v="1"/>
    <s v="D"/>
    <x v="3"/>
    <n v="3.645"/>
    <n v="3.645"/>
    <s v="Excelsa"/>
    <x v="2"/>
    <x v="0"/>
  </r>
  <r>
    <s v="UHW-74617-126"/>
    <x v="173"/>
    <s v="90816-65619-LM"/>
    <s v="E-D-2.5"/>
    <n v="2"/>
    <x v="560"/>
    <s v=""/>
    <x v="0"/>
    <x v="1"/>
    <s v="D"/>
    <x v="2"/>
    <n v="27.945"/>
    <n v="55.89"/>
    <s v="Excelsa"/>
    <x v="2"/>
    <x v="1"/>
  </r>
  <r>
    <s v="RIK-61730-794"/>
    <x v="473"/>
    <s v="69761-61146-KD"/>
    <s v="L-M-0.2"/>
    <n v="6"/>
    <x v="561"/>
    <s v=""/>
    <x v="0"/>
    <x v="3"/>
    <s v="M"/>
    <x v="3"/>
    <n v="4.3650000000000002"/>
    <n v="26.19"/>
    <s v="Liberica"/>
    <x v="0"/>
    <x v="0"/>
  </r>
  <r>
    <s v="IDJ-55379-750"/>
    <x v="474"/>
    <s v="24040-20817-QB"/>
    <s v="R-M-1"/>
    <n v="4"/>
    <x v="562"/>
    <s v=""/>
    <x v="0"/>
    <x v="0"/>
    <s v="M"/>
    <x v="0"/>
    <n v="9.9499999999999993"/>
    <n v="39.799999999999997"/>
    <s v="Robusta"/>
    <x v="0"/>
    <x v="1"/>
  </r>
  <r>
    <s v="OHX-11953-965"/>
    <x v="475"/>
    <s v="19524-21432-XP"/>
    <s v="E-L-2.5"/>
    <n v="2"/>
    <x v="563"/>
    <s v=""/>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
    <x v="2"/>
    <x v="0"/>
    <s v="M"/>
    <x v="1"/>
    <n v="5.97"/>
    <n v="29.849999999999998"/>
    <s v="Robusta"/>
    <x v="0"/>
    <x v="0"/>
  </r>
  <r>
    <s v="IXW-20780-268"/>
    <x v="478"/>
    <s v="20236-64364-QL"/>
    <s v="L-L-2.5"/>
    <n v="2"/>
    <x v="566"/>
    <s v=""/>
    <x v="0"/>
    <x v="3"/>
    <s v="L"/>
    <x v="2"/>
    <n v="36.454999999999998"/>
    <n v="72.91"/>
    <s v="Liberica"/>
    <x v="1"/>
    <x v="0"/>
  </r>
  <r>
    <s v="NGG-24006-937"/>
    <x v="45"/>
    <s v="29102-40100-TZ"/>
    <s v="E-M-2.5"/>
    <n v="4"/>
    <x v="567"/>
    <s v=""/>
    <x v="2"/>
    <x v="1"/>
    <s v="M"/>
    <x v="2"/>
    <n v="31.624999999999996"/>
    <n v="126.49999999999999"/>
    <s v="Excelsa"/>
    <x v="0"/>
    <x v="1"/>
  </r>
  <r>
    <s v="JZC-31180-557"/>
    <x v="444"/>
    <s v="09171-42203-EB"/>
    <s v="L-M-2.5"/>
    <n v="1"/>
    <x v="568"/>
    <s v=""/>
    <x v="0"/>
    <x v="3"/>
    <s v="M"/>
    <x v="2"/>
    <n v="33.464999999999996"/>
    <n v="33.464999999999996"/>
    <s v="Liberica"/>
    <x v="0"/>
    <x v="1"/>
  </r>
  <r>
    <s v="ZMU-63715-204"/>
    <x v="479"/>
    <s v="29060-75856-UI"/>
    <s v="E-D-1"/>
    <n v="6"/>
    <x v="569"/>
    <s v=""/>
    <x v="0"/>
    <x v="1"/>
    <s v="D"/>
    <x v="0"/>
    <n v="12.15"/>
    <n v="72.900000000000006"/>
    <s v="Excelsa"/>
    <x v="2"/>
    <x v="0"/>
  </r>
  <r>
    <s v="GND-08192-056"/>
    <x v="480"/>
    <s v="17088-16989-PL"/>
    <s v="L-D-0.5"/>
    <n v="2"/>
    <x v="570"/>
    <s v=""/>
    <x v="0"/>
    <x v="3"/>
    <s v="D"/>
    <x v="1"/>
    <n v="7.77"/>
    <n v="15.54"/>
    <s v="Liberica"/>
    <x v="2"/>
    <x v="0"/>
  </r>
  <r>
    <s v="RYY-38961-093"/>
    <x v="481"/>
    <s v="14756-18321-CL"/>
    <s v="A-M-0.2"/>
    <n v="6"/>
    <x v="571"/>
    <s v=""/>
    <x v="0"/>
    <x v="2"/>
    <s v="M"/>
    <x v="3"/>
    <n v="3.375"/>
    <n v="20.25"/>
    <s v="Arabica"/>
    <x v="0"/>
    <x v="1"/>
  </r>
  <r>
    <s v="CVA-64996-969"/>
    <x v="478"/>
    <s v="13324-78688-MI"/>
    <s v="A-L-1"/>
    <n v="6"/>
    <x v="572"/>
    <s v=""/>
    <x v="0"/>
    <x v="2"/>
    <s v="L"/>
    <x v="0"/>
    <n v="12.95"/>
    <n v="77.699999999999989"/>
    <s v="Arabica"/>
    <x v="1"/>
    <x v="1"/>
  </r>
  <r>
    <s v="XTH-67276-442"/>
    <x v="482"/>
    <s v="73799-04749-BM"/>
    <s v="L-M-2.5"/>
    <n v="4"/>
    <x v="573"/>
    <s v=""/>
    <x v="0"/>
    <x v="3"/>
    <s v="M"/>
    <x v="2"/>
    <n v="33.464999999999996"/>
    <n v="133.85999999999999"/>
    <s v="Liberica"/>
    <x v="0"/>
    <x v="1"/>
  </r>
  <r>
    <s v="PVU-02950-470"/>
    <x v="353"/>
    <s v="01927-46702-YT"/>
    <s v="E-D-1"/>
    <n v="1"/>
    <x v="574"/>
    <s v=""/>
    <x v="2"/>
    <x v="1"/>
    <s v="D"/>
    <x v="0"/>
    <n v="12.15"/>
    <n v="12.15"/>
    <s v="Excelsa"/>
    <x v="2"/>
    <x v="1"/>
  </r>
  <r>
    <s v="XSN-26809-910"/>
    <x v="199"/>
    <s v="80467-17137-TO"/>
    <s v="E-M-2.5"/>
    <n v="2"/>
    <x v="575"/>
    <s v=""/>
    <x v="1"/>
    <x v="1"/>
    <s v="M"/>
    <x v="2"/>
    <n v="31.624999999999996"/>
    <n v="63.249999999999993"/>
    <s v="Excelsa"/>
    <x v="0"/>
    <x v="0"/>
  </r>
  <r>
    <s v="UDN-88321-005"/>
    <x v="372"/>
    <s v="14640-87215-BK"/>
    <s v="R-L-0.5"/>
    <n v="5"/>
    <x v="576"/>
    <s v=""/>
    <x v="0"/>
    <x v="0"/>
    <s v="L"/>
    <x v="1"/>
    <n v="7.169999999999999"/>
    <n v="35.849999999999994"/>
    <s v="Robusta"/>
    <x v="1"/>
    <x v="1"/>
  </r>
  <r>
    <s v="EXP-21628-670"/>
    <x v="267"/>
    <s v="94447-35885-HK"/>
    <s v="A-M-2.5"/>
    <n v="3"/>
    <x v="577"/>
    <s v=""/>
    <x v="0"/>
    <x v="2"/>
    <s v="M"/>
    <x v="2"/>
    <n v="25.874999999999996"/>
    <n v="77.624999999999986"/>
    <s v="Arabica"/>
    <x v="0"/>
    <x v="1"/>
  </r>
  <r>
    <s v="VGM-24161-361"/>
    <x v="480"/>
    <s v="71034-49694-CS"/>
    <s v="E-M-2.5"/>
    <n v="2"/>
    <x v="578"/>
    <s v=""/>
    <x v="0"/>
    <x v="1"/>
    <s v="M"/>
    <x v="2"/>
    <n v="31.624999999999996"/>
    <n v="63.249999999999993"/>
    <s v="Excelsa"/>
    <x v="0"/>
    <x v="0"/>
  </r>
  <r>
    <s v="PKN-19556-918"/>
    <x v="483"/>
    <s v="00445-42781-KX"/>
    <s v="E-L-0.2"/>
    <n v="6"/>
    <x v="579"/>
    <s v=""/>
    <x v="1"/>
    <x v="1"/>
    <s v="L"/>
    <x v="3"/>
    <n v="4.4550000000000001"/>
    <n v="26.73"/>
    <s v="Excelsa"/>
    <x v="1"/>
    <x v="0"/>
  </r>
  <r>
    <s v="PKN-19556-918"/>
    <x v="483"/>
    <s v="00445-42781-KX"/>
    <s v="L-D-0.5"/>
    <n v="4"/>
    <x v="579"/>
    <s v=""/>
    <x v="1"/>
    <x v="3"/>
    <s v="D"/>
    <x v="1"/>
    <n v="7.77"/>
    <n v="31.08"/>
    <s v="Liberica"/>
    <x v="2"/>
    <x v="0"/>
  </r>
  <r>
    <s v="PKN-19556-918"/>
    <x v="483"/>
    <s v="00445-42781-KX"/>
    <s v="A-D-0.2"/>
    <n v="1"/>
    <x v="579"/>
    <s v=""/>
    <x v="1"/>
    <x v="2"/>
    <s v="D"/>
    <x v="3"/>
    <n v="2.9849999999999999"/>
    <n v="2.9849999999999999"/>
    <s v="Arabica"/>
    <x v="2"/>
    <x v="0"/>
  </r>
  <r>
    <s v="PKN-19556-918"/>
    <x v="483"/>
    <s v="00445-42781-KX"/>
    <s v="R-D-2.5"/>
    <n v="5"/>
    <x v="579"/>
    <s v=""/>
    <x v="1"/>
    <x v="0"/>
    <s v="D"/>
    <x v="2"/>
    <n v="20.584999999999997"/>
    <n v="102.92499999999998"/>
    <s v="Robusta"/>
    <x v="2"/>
    <x v="0"/>
  </r>
  <r>
    <s v="DXQ-44537-297"/>
    <x v="484"/>
    <s v="96116-24737-LV"/>
    <s v="E-L-0.5"/>
    <n v="4"/>
    <x v="580"/>
    <s v=""/>
    <x v="0"/>
    <x v="1"/>
    <s v="L"/>
    <x v="1"/>
    <n v="8.91"/>
    <n v="35.64"/>
    <s v="Excelsa"/>
    <x v="1"/>
    <x v="1"/>
  </r>
  <r>
    <s v="BPC-54727-307"/>
    <x v="485"/>
    <s v="18684-73088-YL"/>
    <s v="R-L-1"/>
    <n v="4"/>
    <x v="581"/>
    <s v=""/>
    <x v="0"/>
    <x v="0"/>
    <s v="L"/>
    <x v="0"/>
    <n v="11.95"/>
    <n v="47.8"/>
    <s v="Robusta"/>
    <x v="1"/>
    <x v="1"/>
  </r>
  <r>
    <s v="KSH-47717-456"/>
    <x v="486"/>
    <s v="74671-55639-TU"/>
    <s v="L-M-1"/>
    <n v="3"/>
    <x v="582"/>
    <s v=""/>
    <x v="0"/>
    <x v="3"/>
    <s v="M"/>
    <x v="0"/>
    <n v="14.55"/>
    <n v="43.650000000000006"/>
    <s v="Liberica"/>
    <x v="0"/>
    <x v="1"/>
  </r>
  <r>
    <s v="ANK-59436-446"/>
    <x v="487"/>
    <s v="17488-65879-XL"/>
    <s v="E-L-0.5"/>
    <n v="4"/>
    <x v="583"/>
    <s v=""/>
    <x v="0"/>
    <x v="1"/>
    <s v="L"/>
    <x v="1"/>
    <n v="8.91"/>
    <n v="35.64"/>
    <s v="Excelsa"/>
    <x v="1"/>
    <x v="0"/>
  </r>
  <r>
    <s v="AYY-83051-752"/>
    <x v="488"/>
    <s v="46431-09298-OU"/>
    <s v="L-L-1"/>
    <n v="6"/>
    <x v="584"/>
    <s v=""/>
    <x v="0"/>
    <x v="3"/>
    <s v="L"/>
    <x v="0"/>
    <n v="15.85"/>
    <n v="95.1"/>
    <s v="Liberica"/>
    <x v="1"/>
    <x v="0"/>
  </r>
  <r>
    <s v="CSW-59644-267"/>
    <x v="489"/>
    <s v="60378-26473-FE"/>
    <s v="E-M-2.5"/>
    <n v="1"/>
    <x v="585"/>
    <s v=""/>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
    <x v="0"/>
    <x v="3"/>
    <s v="D"/>
    <x v="3"/>
    <n v="3.8849999999999998"/>
    <n v="3.8849999999999998"/>
    <s v="Liberica"/>
    <x v="2"/>
    <x v="0"/>
  </r>
  <r>
    <s v="LJN-34281-921"/>
    <x v="491"/>
    <s v="52143-35672-JF"/>
    <s v="R-L-2.5"/>
    <n v="5"/>
    <x v="588"/>
    <s v=""/>
    <x v="0"/>
    <x v="0"/>
    <s v="L"/>
    <x v="2"/>
    <n v="27.484999999999996"/>
    <n v="137.42499999999998"/>
    <s v="Robusta"/>
    <x v="1"/>
    <x v="1"/>
  </r>
  <r>
    <s v="BWZ-46364-547"/>
    <x v="301"/>
    <s v="64918-67725-MN"/>
    <s v="R-L-1"/>
    <n v="3"/>
    <x v="589"/>
    <s v=""/>
    <x v="0"/>
    <x v="0"/>
    <s v="L"/>
    <x v="0"/>
    <n v="11.95"/>
    <n v="35.849999999999994"/>
    <s v="Robusta"/>
    <x v="1"/>
    <x v="0"/>
  </r>
  <r>
    <s v="SBC-95710-706"/>
    <x v="194"/>
    <s v="85634-61759-ND"/>
    <s v="E-M-0.2"/>
    <n v="2"/>
    <x v="590"/>
    <s v=""/>
    <x v="2"/>
    <x v="1"/>
    <s v="M"/>
    <x v="3"/>
    <n v="4.125"/>
    <n v="8.25"/>
    <s v="Excelsa"/>
    <x v="0"/>
    <x v="0"/>
  </r>
  <r>
    <s v="WRN-55114-031"/>
    <x v="26"/>
    <s v="40180-22940-QB"/>
    <s v="E-L-2.5"/>
    <n v="3"/>
    <x v="591"/>
    <s v=""/>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
    <x v="0"/>
    <x v="2"/>
    <s v="D"/>
    <x v="2"/>
    <n v="22.884999999999998"/>
    <n v="68.655000000000001"/>
    <s v="Arabica"/>
    <x v="2"/>
    <x v="0"/>
  </r>
  <r>
    <s v="MVB-22135-665"/>
    <x v="462"/>
    <s v="55621-06130-SA"/>
    <s v="A-D-1"/>
    <n v="1"/>
    <x v="594"/>
    <s v=""/>
    <x v="0"/>
    <x v="2"/>
    <s v="D"/>
    <x v="0"/>
    <n v="9.9499999999999993"/>
    <n v="9.9499999999999993"/>
    <s v="Arabica"/>
    <x v="2"/>
    <x v="0"/>
  </r>
  <r>
    <s v="CKS-47815-571"/>
    <x v="493"/>
    <s v="45666-86771-EH"/>
    <s v="L-L-0.5"/>
    <n v="3"/>
    <x v="595"/>
    <s v=""/>
    <x v="2"/>
    <x v="3"/>
    <s v="L"/>
    <x v="1"/>
    <n v="9.51"/>
    <n v="28.53"/>
    <s v="Liberica"/>
    <x v="1"/>
    <x v="0"/>
  </r>
  <r>
    <s v="OAW-17338-101"/>
    <x v="494"/>
    <s v="52143-35672-JF"/>
    <s v="R-D-0.2"/>
    <n v="6"/>
    <x v="588"/>
    <s v=""/>
    <x v="0"/>
    <x v="0"/>
    <s v="D"/>
    <x v="3"/>
    <n v="2.6849999999999996"/>
    <n v="16.11"/>
    <s v="Robusta"/>
    <x v="2"/>
    <x v="1"/>
  </r>
  <r>
    <s v="ALP-37623-536"/>
    <x v="495"/>
    <s v="24689-69376-XX"/>
    <s v="L-L-1"/>
    <n v="6"/>
    <x v="596"/>
    <s v=""/>
    <x v="2"/>
    <x v="3"/>
    <s v="L"/>
    <x v="0"/>
    <n v="15.85"/>
    <n v="95.1"/>
    <s v="Liberica"/>
    <x v="1"/>
    <x v="1"/>
  </r>
  <r>
    <s v="WMU-87639-108"/>
    <x v="496"/>
    <s v="71891-51101-VQ"/>
    <s v="R-D-0.5"/>
    <n v="1"/>
    <x v="597"/>
    <s v=""/>
    <x v="0"/>
    <x v="0"/>
    <s v="D"/>
    <x v="1"/>
    <n v="5.3699999999999992"/>
    <n v="5.3699999999999992"/>
    <s v="Robusta"/>
    <x v="2"/>
    <x v="0"/>
  </r>
  <r>
    <s v="USN-44968-231"/>
    <x v="497"/>
    <s v="71749-05400-CN"/>
    <s v="R-L-1"/>
    <n v="4"/>
    <x v="598"/>
    <s v=""/>
    <x v="0"/>
    <x v="0"/>
    <s v="L"/>
    <x v="0"/>
    <n v="11.95"/>
    <n v="47.8"/>
    <s v="Robusta"/>
    <x v="1"/>
    <x v="1"/>
  </r>
  <r>
    <s v="YZG-20575-451"/>
    <x v="498"/>
    <s v="64845-00270-NO"/>
    <s v="L-L-1"/>
    <n v="4"/>
    <x v="599"/>
    <s v=""/>
    <x v="1"/>
    <x v="3"/>
    <s v="L"/>
    <x v="0"/>
    <n v="15.85"/>
    <n v="63.4"/>
    <s v="Liberica"/>
    <x v="1"/>
    <x v="1"/>
  </r>
  <r>
    <s v="HTH-52867-812"/>
    <x v="382"/>
    <s v="29851-36402-UX"/>
    <s v="A-M-2.5"/>
    <n v="4"/>
    <x v="600"/>
    <s v=""/>
    <x v="0"/>
    <x v="2"/>
    <s v="M"/>
    <x v="2"/>
    <n v="25.874999999999996"/>
    <n v="103.49999999999999"/>
    <s v="Arabica"/>
    <x v="0"/>
    <x v="1"/>
  </r>
  <r>
    <s v="FWU-44971-444"/>
    <x v="499"/>
    <s v="12190-25421-WM"/>
    <s v="A-D-2.5"/>
    <n v="3"/>
    <x v="601"/>
    <s v=""/>
    <x v="0"/>
    <x v="2"/>
    <s v="D"/>
    <x v="2"/>
    <n v="22.884999999999998"/>
    <n v="68.655000000000001"/>
    <s v="Arabica"/>
    <x v="2"/>
    <x v="1"/>
  </r>
  <r>
    <s v="EQI-82205-066"/>
    <x v="500"/>
    <s v="52316-30571-GD"/>
    <s v="R-M-2.5"/>
    <n v="2"/>
    <x v="602"/>
    <s v=""/>
    <x v="0"/>
    <x v="0"/>
    <s v="M"/>
    <x v="2"/>
    <n v="22.884999999999998"/>
    <n v="45.769999999999996"/>
    <s v="Robusta"/>
    <x v="0"/>
    <x v="0"/>
  </r>
  <r>
    <s v="NAR-00747-074"/>
    <x v="501"/>
    <s v="23243-92649-RY"/>
    <s v="L-D-1"/>
    <n v="4"/>
    <x v="603"/>
    <s v=""/>
    <x v="0"/>
    <x v="3"/>
    <s v="D"/>
    <x v="0"/>
    <n v="12.95"/>
    <n v="51.8"/>
    <s v="Liberica"/>
    <x v="2"/>
    <x v="1"/>
  </r>
  <r>
    <s v="JYR-22052-185"/>
    <x v="502"/>
    <s v="39528-19971-OR"/>
    <s v="A-M-0.5"/>
    <n v="2"/>
    <x v="604"/>
    <s v=""/>
    <x v="0"/>
    <x v="2"/>
    <s v="M"/>
    <x v="1"/>
    <n v="6.75"/>
    <n v="13.5"/>
    <s v="Arabica"/>
    <x v="0"/>
    <x v="0"/>
  </r>
  <r>
    <s v="XKO-54097-932"/>
    <x v="503"/>
    <s v="32743-78448-KT"/>
    <s v="E-M-0.5"/>
    <n v="3"/>
    <x v="605"/>
    <s v=""/>
    <x v="0"/>
    <x v="1"/>
    <s v="M"/>
    <x v="1"/>
    <n v="8.25"/>
    <n v="24.75"/>
    <s v="Excelsa"/>
    <x v="0"/>
    <x v="0"/>
  </r>
  <r>
    <s v="HXA-72415-025"/>
    <x v="504"/>
    <s v="93417-12322-YB"/>
    <s v="A-D-2.5"/>
    <n v="2"/>
    <x v="606"/>
    <s v=""/>
    <x v="1"/>
    <x v="2"/>
    <s v="D"/>
    <x v="2"/>
    <n v="22.884999999999998"/>
    <n v="45.769999999999996"/>
    <s v="Arabica"/>
    <x v="2"/>
    <x v="0"/>
  </r>
  <r>
    <s v="MJF-20065-335"/>
    <x v="497"/>
    <s v="56891-86662-UY"/>
    <s v="E-L-0.5"/>
    <n v="6"/>
    <x v="607"/>
    <s v=""/>
    <x v="0"/>
    <x v="1"/>
    <s v="L"/>
    <x v="1"/>
    <n v="8.91"/>
    <n v="53.46"/>
    <s v="Excelsa"/>
    <x v="1"/>
    <x v="1"/>
  </r>
  <r>
    <s v="GFI-83300-059"/>
    <x v="501"/>
    <s v="40414-26467-VE"/>
    <s v="A-M-0.2"/>
    <n v="6"/>
    <x v="608"/>
    <s v=""/>
    <x v="0"/>
    <x v="2"/>
    <s v="M"/>
    <x v="3"/>
    <n v="3.375"/>
    <n v="20.25"/>
    <s v="Arabica"/>
    <x v="0"/>
    <x v="0"/>
  </r>
  <r>
    <s v="WJR-51493-682"/>
    <x v="1"/>
    <s v="87858-83734-RK"/>
    <s v="L-D-2.5"/>
    <n v="5"/>
    <x v="609"/>
    <s v=""/>
    <x v="0"/>
    <x v="3"/>
    <s v="D"/>
    <x v="2"/>
    <n v="29.784999999999997"/>
    <n v="148.92499999999998"/>
    <s v="Liberica"/>
    <x v="2"/>
    <x v="1"/>
  </r>
  <r>
    <s v="SHP-55648-472"/>
    <x v="505"/>
    <s v="46818-20198-GB"/>
    <s v="A-M-1"/>
    <n v="6"/>
    <x v="610"/>
    <s v=""/>
    <x v="0"/>
    <x v="2"/>
    <s v="M"/>
    <x v="0"/>
    <n v="11.25"/>
    <n v="67.5"/>
    <s v="Arabica"/>
    <x v="0"/>
    <x v="1"/>
  </r>
  <r>
    <s v="HYR-03455-684"/>
    <x v="506"/>
    <s v="29808-89098-XD"/>
    <s v="E-D-1"/>
    <n v="6"/>
    <x v="611"/>
    <s v=""/>
    <x v="0"/>
    <x v="1"/>
    <s v="D"/>
    <x v="0"/>
    <n v="12.15"/>
    <n v="72.900000000000006"/>
    <s v="Excelsa"/>
    <x v="2"/>
    <x v="1"/>
  </r>
  <r>
    <s v="HYR-03455-684"/>
    <x v="506"/>
    <s v="29808-89098-XD"/>
    <s v="L-D-0.2"/>
    <n v="2"/>
    <x v="611"/>
    <s v=""/>
    <x v="0"/>
    <x v="3"/>
    <s v="D"/>
    <x v="3"/>
    <n v="3.8849999999999998"/>
    <n v="7.77"/>
    <s v="Liberica"/>
    <x v="2"/>
    <x v="1"/>
  </r>
  <r>
    <s v="HUG-52766-375"/>
    <x v="507"/>
    <s v="78786-77449-RQ"/>
    <s v="A-D-2.5"/>
    <n v="4"/>
    <x v="612"/>
    <s v=""/>
    <x v="0"/>
    <x v="2"/>
    <s v="D"/>
    <x v="2"/>
    <n v="22.884999999999998"/>
    <n v="91.539999999999992"/>
    <s v="Arabica"/>
    <x v="2"/>
    <x v="1"/>
  </r>
  <r>
    <s v="DAH-46595-917"/>
    <x v="508"/>
    <s v="27878-42224-QF"/>
    <s v="A-D-1"/>
    <n v="6"/>
    <x v="613"/>
    <s v=""/>
    <x v="1"/>
    <x v="2"/>
    <s v="D"/>
    <x v="0"/>
    <n v="9.9499999999999993"/>
    <n v="59.699999999999996"/>
    <s v="Arabica"/>
    <x v="2"/>
    <x v="1"/>
  </r>
  <r>
    <s v="VEM-79839-466"/>
    <x v="509"/>
    <s v="32743-78448-KT"/>
    <s v="R-L-2.5"/>
    <n v="5"/>
    <x v="605"/>
    <s v=""/>
    <x v="0"/>
    <x v="0"/>
    <s v="L"/>
    <x v="2"/>
    <n v="27.484999999999996"/>
    <n v="137.42499999999998"/>
    <s v="Robusta"/>
    <x v="1"/>
    <x v="0"/>
  </r>
  <r>
    <s v="OWH-11126-533"/>
    <x v="131"/>
    <s v="25331-13794-SB"/>
    <s v="L-M-2.5"/>
    <n v="2"/>
    <x v="614"/>
    <s v=""/>
    <x v="0"/>
    <x v="3"/>
    <s v="M"/>
    <x v="2"/>
    <n v="33.464999999999996"/>
    <n v="66.929999999999993"/>
    <s v="Liberica"/>
    <x v="0"/>
    <x v="1"/>
  </r>
  <r>
    <s v="UMT-26130-151"/>
    <x v="510"/>
    <s v="55864-37682-GQ"/>
    <s v="L-M-0.2"/>
    <n v="3"/>
    <x v="615"/>
    <s v=""/>
    <x v="0"/>
    <x v="3"/>
    <s v="M"/>
    <x v="3"/>
    <n v="4.3650000000000002"/>
    <n v="13.095000000000001"/>
    <s v="Liberica"/>
    <x v="0"/>
    <x v="0"/>
  </r>
  <r>
    <s v="JKA-27899-806"/>
    <x v="511"/>
    <s v="97005-25609-CQ"/>
    <s v="R-L-1"/>
    <n v="5"/>
    <x v="616"/>
    <s v=""/>
    <x v="0"/>
    <x v="0"/>
    <s v="L"/>
    <x v="0"/>
    <n v="11.95"/>
    <n v="59.75"/>
    <s v="Robusta"/>
    <x v="1"/>
    <x v="1"/>
  </r>
  <r>
    <s v="ULU-07744-724"/>
    <x v="512"/>
    <s v="94058-95794-IJ"/>
    <s v="L-M-0.5"/>
    <n v="5"/>
    <x v="617"/>
    <s v=""/>
    <x v="0"/>
    <x v="3"/>
    <s v="M"/>
    <x v="1"/>
    <n v="8.73"/>
    <n v="43.650000000000006"/>
    <s v="Liberica"/>
    <x v="0"/>
    <x v="0"/>
  </r>
  <r>
    <s v="NOM-56457-507"/>
    <x v="513"/>
    <s v="40214-03678-GU"/>
    <s v="E-M-1"/>
    <n v="6"/>
    <x v="618"/>
    <s v=""/>
    <x v="0"/>
    <x v="1"/>
    <s v="M"/>
    <x v="0"/>
    <n v="13.75"/>
    <n v="82.5"/>
    <s v="Excelsa"/>
    <x v="0"/>
    <x v="0"/>
  </r>
  <r>
    <s v="NZN-71683-705"/>
    <x v="514"/>
    <s v="04921-85445-SL"/>
    <s v="A-L-2.5"/>
    <n v="6"/>
    <x v="619"/>
    <s v=""/>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
    <x v="1"/>
    <x v="3"/>
    <s v="M"/>
    <x v="1"/>
    <n v="8.73"/>
    <n v="43.650000000000006"/>
    <s v="Liberica"/>
    <x v="0"/>
    <x v="1"/>
  </r>
  <r>
    <s v="CPW-34587-459"/>
    <x v="516"/>
    <s v="84641-67384-TD"/>
    <s v="A-L-2.5"/>
    <n v="6"/>
    <x v="623"/>
    <s v=""/>
    <x v="0"/>
    <x v="2"/>
    <s v="L"/>
    <x v="2"/>
    <n v="29.784999999999997"/>
    <n v="178.70999999999998"/>
    <s v="Arabica"/>
    <x v="1"/>
    <x v="0"/>
  </r>
  <r>
    <s v="NQZ-82067-394"/>
    <x v="517"/>
    <s v="72320-29738-EB"/>
    <s v="R-L-2.5"/>
    <n v="1"/>
    <x v="624"/>
    <s v=""/>
    <x v="2"/>
    <x v="0"/>
    <s v="L"/>
    <x v="2"/>
    <n v="27.484999999999996"/>
    <n v="27.484999999999996"/>
    <s v="Robusta"/>
    <x v="1"/>
    <x v="1"/>
  </r>
  <r>
    <s v="JBW-95055-851"/>
    <x v="518"/>
    <s v="47355-97488-XS"/>
    <s v="A-M-1"/>
    <n v="5"/>
    <x v="625"/>
    <s v=""/>
    <x v="0"/>
    <x v="2"/>
    <s v="M"/>
    <x v="0"/>
    <n v="11.25"/>
    <n v="56.25"/>
    <s v="Arabica"/>
    <x v="0"/>
    <x v="1"/>
  </r>
  <r>
    <s v="AHY-20324-088"/>
    <x v="519"/>
    <s v="63499-24884-PP"/>
    <s v="L-L-0.2"/>
    <n v="2"/>
    <x v="626"/>
    <s v=""/>
    <x v="2"/>
    <x v="3"/>
    <s v="L"/>
    <x v="3"/>
    <n v="4.7549999999999999"/>
    <n v="9.51"/>
    <s v="Liberica"/>
    <x v="1"/>
    <x v="0"/>
  </r>
  <r>
    <s v="ZSL-66684-103"/>
    <x v="520"/>
    <s v="39193-51770-FM"/>
    <s v="E-M-0.2"/>
    <n v="2"/>
    <x v="627"/>
    <s v=""/>
    <x v="0"/>
    <x v="1"/>
    <s v="M"/>
    <x v="3"/>
    <n v="4.125"/>
    <n v="8.25"/>
    <s v="Excelsa"/>
    <x v="0"/>
    <x v="0"/>
  </r>
  <r>
    <s v="WNE-73911-475"/>
    <x v="521"/>
    <s v="61323-91967-GG"/>
    <s v="L-D-0.5"/>
    <n v="6"/>
    <x v="628"/>
    <s v=""/>
    <x v="0"/>
    <x v="3"/>
    <s v="D"/>
    <x v="1"/>
    <n v="7.77"/>
    <n v="46.62"/>
    <s v="Liberica"/>
    <x v="2"/>
    <x v="1"/>
  </r>
  <r>
    <s v="EZB-68383-559"/>
    <x v="418"/>
    <s v="90123-01967-KS"/>
    <s v="R-L-1"/>
    <n v="6"/>
    <x v="629"/>
    <s v=""/>
    <x v="0"/>
    <x v="0"/>
    <s v="L"/>
    <x v="0"/>
    <n v="11.95"/>
    <n v="71.699999999999989"/>
    <s v="Robusta"/>
    <x v="1"/>
    <x v="1"/>
  </r>
  <r>
    <s v="OVO-01283-090"/>
    <x v="122"/>
    <s v="15958-25089-OS"/>
    <s v="L-L-2.5"/>
    <n v="2"/>
    <x v="630"/>
    <s v=""/>
    <x v="0"/>
    <x v="3"/>
    <s v="L"/>
    <x v="2"/>
    <n v="36.454999999999998"/>
    <n v="72.91"/>
    <s v="Liberica"/>
    <x v="1"/>
    <x v="0"/>
  </r>
  <r>
    <s v="TXH-78646-919"/>
    <x v="423"/>
    <s v="98430-37820-UV"/>
    <s v="R-D-0.2"/>
    <n v="3"/>
    <x v="631"/>
    <s v=""/>
    <x v="0"/>
    <x v="0"/>
    <s v="D"/>
    <x v="3"/>
    <n v="2.6849999999999996"/>
    <n v="8.0549999999999997"/>
    <s v="Robusta"/>
    <x v="2"/>
    <x v="0"/>
  </r>
  <r>
    <s v="CYZ-37122-164"/>
    <x v="463"/>
    <s v="21798-04171-XC"/>
    <s v="E-M-0.5"/>
    <n v="2"/>
    <x v="632"/>
    <s v=""/>
    <x v="0"/>
    <x v="1"/>
    <s v="M"/>
    <x v="1"/>
    <n v="8.25"/>
    <n v="16.5"/>
    <s v="Excelsa"/>
    <x v="0"/>
    <x v="1"/>
  </r>
  <r>
    <s v="AGQ-06534-750"/>
    <x v="273"/>
    <s v="52798-46508-HP"/>
    <s v="A-L-1"/>
    <n v="5"/>
    <x v="633"/>
    <s v=""/>
    <x v="1"/>
    <x v="2"/>
    <s v="L"/>
    <x v="0"/>
    <n v="12.95"/>
    <n v="64.75"/>
    <s v="Arabica"/>
    <x v="1"/>
    <x v="1"/>
  </r>
  <r>
    <s v="QVL-32245-818"/>
    <x v="522"/>
    <s v="46478-42970-EM"/>
    <s v="A-M-0.5"/>
    <n v="5"/>
    <x v="634"/>
    <s v=""/>
    <x v="0"/>
    <x v="2"/>
    <s v="M"/>
    <x v="1"/>
    <n v="6.75"/>
    <n v="33.75"/>
    <s v="Arabica"/>
    <x v="0"/>
    <x v="1"/>
  </r>
  <r>
    <s v="LTD-96842-834"/>
    <x v="523"/>
    <s v="00246-15080-LE"/>
    <s v="L-D-2.5"/>
    <n v="6"/>
    <x v="635"/>
    <s v=""/>
    <x v="0"/>
    <x v="3"/>
    <s v="D"/>
    <x v="2"/>
    <n v="29.784999999999997"/>
    <n v="178.70999999999998"/>
    <s v="Liberica"/>
    <x v="2"/>
    <x v="1"/>
  </r>
  <r>
    <s v="SEC-91807-425"/>
    <x v="260"/>
    <s v="94091-86957-HX"/>
    <s v="A-M-1"/>
    <n v="2"/>
    <x v="636"/>
    <s v=""/>
    <x v="1"/>
    <x v="2"/>
    <s v="M"/>
    <x v="0"/>
    <n v="11.25"/>
    <n v="22.5"/>
    <s v="Arabica"/>
    <x v="0"/>
    <x v="1"/>
  </r>
  <r>
    <s v="MHM-44857-599"/>
    <x v="331"/>
    <s v="26295-44907-DK"/>
    <s v="L-D-1"/>
    <n v="1"/>
    <x v="637"/>
    <s v=""/>
    <x v="0"/>
    <x v="3"/>
    <s v="D"/>
    <x v="0"/>
    <n v="12.95"/>
    <n v="12.95"/>
    <s v="Liberica"/>
    <x v="2"/>
    <x v="1"/>
  </r>
  <r>
    <s v="KGC-95046-911"/>
    <x v="524"/>
    <s v="95351-96177-QV"/>
    <s v="A-M-2.5"/>
    <n v="2"/>
    <x v="638"/>
    <s v=""/>
    <x v="0"/>
    <x v="2"/>
    <s v="M"/>
    <x v="2"/>
    <n v="25.874999999999996"/>
    <n v="51.749999999999993"/>
    <s v="Arabica"/>
    <x v="0"/>
    <x v="0"/>
  </r>
  <r>
    <s v="RZC-75150-413"/>
    <x v="525"/>
    <s v="92204-96636-BS"/>
    <s v="E-D-0.5"/>
    <n v="5"/>
    <x v="639"/>
    <s v=""/>
    <x v="0"/>
    <x v="1"/>
    <s v="D"/>
    <x v="1"/>
    <n v="7.29"/>
    <n v="36.450000000000003"/>
    <s v="Excelsa"/>
    <x v="2"/>
    <x v="1"/>
  </r>
  <r>
    <s v="EYH-88288-452"/>
    <x v="526"/>
    <s v="03010-30348-UA"/>
    <s v="L-L-2.5"/>
    <n v="5"/>
    <x v="640"/>
    <s v=""/>
    <x v="0"/>
    <x v="3"/>
    <s v="L"/>
    <x v="2"/>
    <n v="36.454999999999998"/>
    <n v="182.27499999999998"/>
    <s v="Liberica"/>
    <x v="1"/>
    <x v="0"/>
  </r>
  <r>
    <s v="NYQ-24237-772"/>
    <x v="104"/>
    <s v="13441-34686-SW"/>
    <s v="L-D-0.5"/>
    <n v="4"/>
    <x v="641"/>
    <s v=""/>
    <x v="0"/>
    <x v="3"/>
    <s v="D"/>
    <x v="1"/>
    <n v="7.77"/>
    <n v="31.08"/>
    <s v="Liberica"/>
    <x v="2"/>
    <x v="1"/>
  </r>
  <r>
    <s v="WKB-21680-566"/>
    <x v="491"/>
    <s v="96612-41722-VJ"/>
    <s v="A-M-0.5"/>
    <n v="3"/>
    <x v="642"/>
    <s v=""/>
    <x v="1"/>
    <x v="2"/>
    <s v="M"/>
    <x v="1"/>
    <n v="6.75"/>
    <n v="20.25"/>
    <s v="Arabica"/>
    <x v="0"/>
    <x v="1"/>
  </r>
  <r>
    <s v="THE-61147-027"/>
    <x v="157"/>
    <s v="94091-86957-HX"/>
    <s v="L-D-1"/>
    <n v="2"/>
    <x v="636"/>
    <s v=""/>
    <x v="1"/>
    <x v="3"/>
    <s v="D"/>
    <x v="0"/>
    <n v="12.95"/>
    <n v="25.9"/>
    <s v="Liberica"/>
    <x v="2"/>
    <x v="1"/>
  </r>
  <r>
    <s v="PTY-86420-119"/>
    <x v="527"/>
    <s v="25504-41681-WA"/>
    <s v="A-D-0.5"/>
    <n v="4"/>
    <x v="643"/>
    <s v=""/>
    <x v="0"/>
    <x v="2"/>
    <s v="D"/>
    <x v="1"/>
    <n v="5.97"/>
    <n v="23.88"/>
    <s v="Arabica"/>
    <x v="2"/>
    <x v="0"/>
  </r>
  <r>
    <s v="QHL-27188-431"/>
    <x v="528"/>
    <s v="75443-07820-DZ"/>
    <s v="L-L-0.5"/>
    <n v="2"/>
    <x v="644"/>
    <s v=""/>
    <x v="0"/>
    <x v="3"/>
    <s v="L"/>
    <x v="1"/>
    <n v="9.51"/>
    <n v="19.02"/>
    <s v="Liberica"/>
    <x v="1"/>
    <x v="1"/>
  </r>
  <r>
    <s v="MIS-54381-047"/>
    <x v="99"/>
    <s v="39276-95489-XV"/>
    <s v="A-D-0.5"/>
    <n v="5"/>
    <x v="645"/>
    <s v=""/>
    <x v="1"/>
    <x v="2"/>
    <s v="D"/>
    <x v="1"/>
    <n v="5.97"/>
    <n v="29.849999999999998"/>
    <s v="Arabica"/>
    <x v="2"/>
    <x v="0"/>
  </r>
  <r>
    <s v="TBB-29780-459"/>
    <x v="529"/>
    <s v="61437-83623-PZ"/>
    <s v="A-L-0.5"/>
    <n v="1"/>
    <x v="646"/>
    <s v=""/>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
    <x v="0"/>
    <x v="1"/>
    <s v="L"/>
    <x v="1"/>
    <n v="8.91"/>
    <n v="17.82"/>
    <s v="Excelsa"/>
    <x v="1"/>
    <x v="1"/>
  </r>
  <r>
    <s v="EGK-03027-418"/>
    <x v="532"/>
    <s v="19820-29285-FD"/>
    <s v="E-M-0.2"/>
    <n v="3"/>
    <x v="650"/>
    <s v=""/>
    <x v="0"/>
    <x v="1"/>
    <s v="M"/>
    <x v="3"/>
    <n v="4.125"/>
    <n v="12.375"/>
    <s v="Excelsa"/>
    <x v="0"/>
    <x v="1"/>
  </r>
  <r>
    <s v="KCY-61732-849"/>
    <x v="533"/>
    <s v="11349-55147-SN"/>
    <s v="L-D-1"/>
    <n v="2"/>
    <x v="651"/>
    <s v=""/>
    <x v="1"/>
    <x v="3"/>
    <s v="D"/>
    <x v="0"/>
    <n v="12.95"/>
    <n v="25.9"/>
    <s v="Liberica"/>
    <x v="2"/>
    <x v="1"/>
  </r>
  <r>
    <s v="BLI-21697-702"/>
    <x v="534"/>
    <s v="21141-12455-VB"/>
    <s v="A-M-0.5"/>
    <n v="2"/>
    <x v="652"/>
    <s v=""/>
    <x v="0"/>
    <x v="2"/>
    <s v="M"/>
    <x v="1"/>
    <n v="6.75"/>
    <n v="13.5"/>
    <s v="Arabica"/>
    <x v="0"/>
    <x v="0"/>
  </r>
  <r>
    <s v="KFJ-46568-890"/>
    <x v="535"/>
    <s v="71003-85639-HB"/>
    <s v="E-L-0.5"/>
    <n v="2"/>
    <x v="653"/>
    <s v=""/>
    <x v="0"/>
    <x v="1"/>
    <s v="L"/>
    <x v="1"/>
    <n v="8.91"/>
    <n v="17.82"/>
    <s v="Excelsa"/>
    <x v="1"/>
    <x v="0"/>
  </r>
  <r>
    <s v="SOK-43535-680"/>
    <x v="536"/>
    <s v="58443-95866-YO"/>
    <s v="E-M-0.5"/>
    <n v="3"/>
    <x v="654"/>
    <s v=""/>
    <x v="0"/>
    <x v="1"/>
    <s v="M"/>
    <x v="1"/>
    <n v="8.25"/>
    <n v="24.75"/>
    <s v="Excelsa"/>
    <x v="0"/>
    <x v="1"/>
  </r>
  <r>
    <s v="XUE-87260-201"/>
    <x v="537"/>
    <s v="89646-21249-OH"/>
    <s v="R-M-0.2"/>
    <n v="6"/>
    <x v="655"/>
    <s v=""/>
    <x v="0"/>
    <x v="0"/>
    <s v="M"/>
    <x v="3"/>
    <n v="2.9849999999999999"/>
    <n v="17.91"/>
    <s v="Robusta"/>
    <x v="0"/>
    <x v="1"/>
  </r>
  <r>
    <s v="CZF-40873-691"/>
    <x v="61"/>
    <s v="64988-20636-XQ"/>
    <s v="E-M-0.5"/>
    <n v="2"/>
    <x v="656"/>
    <s v=""/>
    <x v="2"/>
    <x v="1"/>
    <s v="M"/>
    <x v="1"/>
    <n v="8.25"/>
    <n v="16.5"/>
    <s v="Excelsa"/>
    <x v="0"/>
    <x v="1"/>
  </r>
  <r>
    <s v="AIA-98989-755"/>
    <x v="242"/>
    <s v="34704-83143-KS"/>
    <s v="R-M-0.2"/>
    <n v="1"/>
    <x v="657"/>
    <s v=""/>
    <x v="0"/>
    <x v="0"/>
    <s v="M"/>
    <x v="3"/>
    <n v="2.9849999999999999"/>
    <n v="2.9849999999999999"/>
    <s v="Robusta"/>
    <x v="0"/>
    <x v="1"/>
  </r>
  <r>
    <s v="ITZ-21793-986"/>
    <x v="299"/>
    <s v="67388-17544-XX"/>
    <s v="E-D-0.2"/>
    <n v="4"/>
    <x v="658"/>
    <s v=""/>
    <x v="1"/>
    <x v="1"/>
    <s v="D"/>
    <x v="3"/>
    <n v="3.645"/>
    <n v="14.58"/>
    <s v="Excelsa"/>
    <x v="2"/>
    <x v="0"/>
  </r>
  <r>
    <s v="YOK-93322-608"/>
    <x v="343"/>
    <s v="69411-48470-ID"/>
    <s v="E-L-1"/>
    <n v="6"/>
    <x v="659"/>
    <s v=""/>
    <x v="0"/>
    <x v="1"/>
    <s v="L"/>
    <x v="0"/>
    <n v="14.85"/>
    <n v="89.1"/>
    <s v="Excelsa"/>
    <x v="1"/>
    <x v="1"/>
  </r>
  <r>
    <s v="LXK-00634-611"/>
    <x v="538"/>
    <s v="94091-86957-HX"/>
    <s v="R-L-1"/>
    <n v="3"/>
    <x v="636"/>
    <s v=""/>
    <x v="1"/>
    <x v="0"/>
    <s v="L"/>
    <x v="0"/>
    <n v="11.95"/>
    <n v="35.849999999999994"/>
    <s v="Robusta"/>
    <x v="1"/>
    <x v="1"/>
  </r>
  <r>
    <s v="CQW-37388-302"/>
    <x v="539"/>
    <s v="97741-98924-KT"/>
    <s v="A-D-2.5"/>
    <n v="3"/>
    <x v="660"/>
    <s v=""/>
    <x v="0"/>
    <x v="2"/>
    <s v="D"/>
    <x v="2"/>
    <n v="22.884999999999998"/>
    <n v="68.655000000000001"/>
    <s v="Arabica"/>
    <x v="2"/>
    <x v="1"/>
  </r>
  <r>
    <s v="SPA-79365-334"/>
    <x v="27"/>
    <s v="79857-78167-KO"/>
    <s v="L-D-1"/>
    <n v="3"/>
    <x v="661"/>
    <s v=""/>
    <x v="0"/>
    <x v="3"/>
    <s v="D"/>
    <x v="0"/>
    <n v="12.95"/>
    <n v="38.849999999999994"/>
    <s v="Liberica"/>
    <x v="2"/>
    <x v="1"/>
  </r>
  <r>
    <s v="VPX-08817-517"/>
    <x v="540"/>
    <s v="46963-10322-ZA"/>
    <s v="L-L-1"/>
    <n v="5"/>
    <x v="662"/>
    <s v=""/>
    <x v="0"/>
    <x v="3"/>
    <s v="L"/>
    <x v="0"/>
    <n v="15.85"/>
    <n v="79.25"/>
    <s v="Liberica"/>
    <x v="1"/>
    <x v="0"/>
  </r>
  <r>
    <s v="PBP-87115-410"/>
    <x v="541"/>
    <s v="93812-74772-MV"/>
    <s v="E-D-0.5"/>
    <n v="5"/>
    <x v="663"/>
    <s v=""/>
    <x v="0"/>
    <x v="1"/>
    <s v="D"/>
    <x v="1"/>
    <n v="7.29"/>
    <n v="36.450000000000003"/>
    <s v="Excelsa"/>
    <x v="2"/>
    <x v="0"/>
  </r>
  <r>
    <s v="SFB-93752-440"/>
    <x v="390"/>
    <s v="48203-23480-UB"/>
    <s v="R-M-0.2"/>
    <n v="3"/>
    <x v="664"/>
    <s v=""/>
    <x v="0"/>
    <x v="0"/>
    <s v="M"/>
    <x v="3"/>
    <n v="2.9849999999999999"/>
    <n v="8.9550000000000001"/>
    <s v="Robusta"/>
    <x v="0"/>
    <x v="0"/>
  </r>
  <r>
    <s v="TBU-65158-068"/>
    <x v="396"/>
    <s v="60357-65386-RD"/>
    <s v="E-D-1"/>
    <n v="2"/>
    <x v="665"/>
    <s v=""/>
    <x v="0"/>
    <x v="1"/>
    <s v="D"/>
    <x v="0"/>
    <n v="12.15"/>
    <n v="24.3"/>
    <s v="Excelsa"/>
    <x v="2"/>
    <x v="1"/>
  </r>
  <r>
    <s v="TEH-08414-216"/>
    <x v="185"/>
    <s v="35099-13971-JI"/>
    <s v="E-M-2.5"/>
    <n v="2"/>
    <x v="666"/>
    <s v=""/>
    <x v="0"/>
    <x v="1"/>
    <s v="M"/>
    <x v="2"/>
    <n v="31.624999999999996"/>
    <n v="63.249999999999993"/>
    <s v="Excelsa"/>
    <x v="0"/>
    <x v="1"/>
  </r>
  <r>
    <s v="MAY-77231-536"/>
    <x v="542"/>
    <s v="01304-59807-OB"/>
    <s v="A-M-0.2"/>
    <n v="2"/>
    <x v="667"/>
    <s v=""/>
    <x v="0"/>
    <x v="2"/>
    <s v="M"/>
    <x v="3"/>
    <n v="3.375"/>
    <n v="6.75"/>
    <s v="Arabica"/>
    <x v="0"/>
    <x v="0"/>
  </r>
  <r>
    <s v="ATY-28980-884"/>
    <x v="117"/>
    <s v="50705-17295-NK"/>
    <s v="A-L-0.2"/>
    <n v="6"/>
    <x v="668"/>
    <s v=""/>
    <x v="0"/>
    <x v="2"/>
    <s v="L"/>
    <x v="3"/>
    <n v="3.8849999999999998"/>
    <n v="23.31"/>
    <s v="Arabica"/>
    <x v="1"/>
    <x v="1"/>
  </r>
  <r>
    <s v="SWP-88281-918"/>
    <x v="543"/>
    <s v="77657-61366-FY"/>
    <s v="L-L-2.5"/>
    <n v="4"/>
    <x v="669"/>
    <s v=""/>
    <x v="0"/>
    <x v="3"/>
    <s v="L"/>
    <x v="2"/>
    <n v="36.454999999999998"/>
    <n v="145.82"/>
    <s v="Liberica"/>
    <x v="1"/>
    <x v="1"/>
  </r>
  <r>
    <s v="VCE-56531-986"/>
    <x v="544"/>
    <s v="57192-13428-PL"/>
    <s v="R-M-0.5"/>
    <n v="5"/>
    <x v="670"/>
    <s v=""/>
    <x v="1"/>
    <x v="0"/>
    <s v="M"/>
    <x v="1"/>
    <n v="5.97"/>
    <n v="29.849999999999998"/>
    <s v="Robusta"/>
    <x v="0"/>
    <x v="0"/>
  </r>
  <r>
    <s v="FVV-75700-005"/>
    <x v="545"/>
    <s v="24891-77957-LU"/>
    <s v="E-D-0.5"/>
    <n v="3"/>
    <x v="671"/>
    <s v=""/>
    <x v="0"/>
    <x v="1"/>
    <s v="D"/>
    <x v="1"/>
    <n v="7.29"/>
    <n v="21.87"/>
    <s v="Excelsa"/>
    <x v="2"/>
    <x v="0"/>
  </r>
  <r>
    <s v="CFZ-53492-600"/>
    <x v="546"/>
    <s v="64896-18468-BT"/>
    <s v="L-M-0.2"/>
    <n v="1"/>
    <x v="672"/>
    <s v=""/>
    <x v="2"/>
    <x v="3"/>
    <s v="M"/>
    <x v="3"/>
    <n v="4.3650000000000002"/>
    <n v="4.3650000000000002"/>
    <s v="Liberica"/>
    <x v="0"/>
    <x v="1"/>
  </r>
  <r>
    <s v="LDK-71031-121"/>
    <x v="420"/>
    <s v="84761-40784-SV"/>
    <s v="L-L-2.5"/>
    <n v="1"/>
    <x v="673"/>
    <s v=""/>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
    <x v="0"/>
    <x v="1"/>
    <s v="L"/>
    <x v="3"/>
    <n v="4.4550000000000001"/>
    <n v="8.91"/>
    <s v="Excelsa"/>
    <x v="1"/>
    <x v="1"/>
  </r>
  <r>
    <s v="SNL-83703-516"/>
    <x v="549"/>
    <s v="57976-33535-WK"/>
    <s v="L-M-2.5"/>
    <n v="3"/>
    <x v="676"/>
    <s v=""/>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
    <x v="0"/>
    <x v="1"/>
    <s v="D"/>
    <x v="3"/>
    <n v="3.645"/>
    <n v="21.87"/>
    <s v="Excelsa"/>
    <x v="2"/>
    <x v="1"/>
  </r>
  <r>
    <s v="CZG-01299-952"/>
    <x v="552"/>
    <s v="09540-70637-EV"/>
    <s v="L-D-1"/>
    <n v="2"/>
    <x v="679"/>
    <s v=""/>
    <x v="1"/>
    <x v="3"/>
    <s v="D"/>
    <x v="0"/>
    <n v="12.95"/>
    <n v="25.9"/>
    <s v="Liberica"/>
    <x v="2"/>
    <x v="0"/>
  </r>
  <r>
    <s v="KLD-88731-484"/>
    <x v="553"/>
    <s v="17775-77072-PP"/>
    <s v="A-M-1"/>
    <n v="5"/>
    <x v="680"/>
    <s v=""/>
    <x v="0"/>
    <x v="2"/>
    <s v="M"/>
    <x v="0"/>
    <n v="11.25"/>
    <n v="56.25"/>
    <s v="Arabica"/>
    <x v="0"/>
    <x v="1"/>
  </r>
  <r>
    <s v="BQK-38412-229"/>
    <x v="554"/>
    <s v="90392-73338-BC"/>
    <s v="R-L-0.2"/>
    <n v="3"/>
    <x v="681"/>
    <s v=""/>
    <x v="2"/>
    <x v="0"/>
    <s v="L"/>
    <x v="3"/>
    <n v="3.5849999999999995"/>
    <n v="10.754999999999999"/>
    <s v="Robusta"/>
    <x v="1"/>
    <x v="1"/>
  </r>
  <r>
    <s v="TCX-76953-071"/>
    <x v="555"/>
    <s v="94091-86957-HX"/>
    <s v="E-D-0.2"/>
    <n v="5"/>
    <x v="636"/>
    <s v=""/>
    <x v="1"/>
    <x v="1"/>
    <s v="D"/>
    <x v="3"/>
    <n v="3.645"/>
    <n v="18.225000000000001"/>
    <s v="Excelsa"/>
    <x v="2"/>
    <x v="1"/>
  </r>
  <r>
    <s v="LIN-88046-551"/>
    <x v="150"/>
    <s v="10725-45724-CO"/>
    <s v="R-L-0.5"/>
    <n v="4"/>
    <x v="682"/>
    <s v=""/>
    <x v="1"/>
    <x v="0"/>
    <s v="L"/>
    <x v="1"/>
    <n v="7.169999999999999"/>
    <n v="28.679999999999996"/>
    <s v="Robusta"/>
    <x v="1"/>
    <x v="1"/>
  </r>
  <r>
    <s v="PMV-54491-220"/>
    <x v="556"/>
    <s v="87242-18006-IR"/>
    <s v="L-M-0.2"/>
    <n v="2"/>
    <x v="683"/>
    <s v=""/>
    <x v="0"/>
    <x v="3"/>
    <s v="M"/>
    <x v="3"/>
    <n v="4.3650000000000002"/>
    <n v="8.73"/>
    <s v="Liberica"/>
    <x v="0"/>
    <x v="1"/>
  </r>
  <r>
    <s v="SKA-73676-005"/>
    <x v="327"/>
    <s v="36572-91896-PP"/>
    <s v="L-M-1"/>
    <n v="4"/>
    <x v="684"/>
    <s v=""/>
    <x v="0"/>
    <x v="3"/>
    <s v="M"/>
    <x v="0"/>
    <n v="14.55"/>
    <n v="58.2"/>
    <s v="Liberica"/>
    <x v="0"/>
    <x v="1"/>
  </r>
  <r>
    <s v="TKH-62197-239"/>
    <x v="557"/>
    <s v="25181-97933-UX"/>
    <s v="A-D-0.5"/>
    <n v="3"/>
    <x v="685"/>
    <s v=""/>
    <x v="0"/>
    <x v="2"/>
    <s v="D"/>
    <x v="1"/>
    <n v="5.97"/>
    <n v="17.91"/>
    <s v="Arabica"/>
    <x v="2"/>
    <x v="1"/>
  </r>
  <r>
    <s v="YXF-57218-272"/>
    <x v="333"/>
    <s v="55374-03175-IA"/>
    <s v="R-M-0.2"/>
    <n v="6"/>
    <x v="686"/>
    <s v=""/>
    <x v="0"/>
    <x v="0"/>
    <s v="M"/>
    <x v="3"/>
    <n v="2.9849999999999999"/>
    <n v="17.91"/>
    <s v="Robusta"/>
    <x v="0"/>
    <x v="0"/>
  </r>
  <r>
    <s v="PKJ-30083-501"/>
    <x v="558"/>
    <s v="76948-43532-JS"/>
    <s v="E-D-0.5"/>
    <n v="2"/>
    <x v="687"/>
    <s v=""/>
    <x v="1"/>
    <x v="1"/>
    <s v="D"/>
    <x v="1"/>
    <n v="7.29"/>
    <n v="14.58"/>
    <s v="Excelsa"/>
    <x v="2"/>
    <x v="1"/>
  </r>
  <r>
    <s v="WTT-91832-645"/>
    <x v="559"/>
    <s v="24344-88599-PP"/>
    <s v="A-M-1"/>
    <n v="3"/>
    <x v="688"/>
    <s v=""/>
    <x v="1"/>
    <x v="2"/>
    <s v="M"/>
    <x v="0"/>
    <n v="11.25"/>
    <n v="33.75"/>
    <s v="Arabica"/>
    <x v="0"/>
    <x v="1"/>
  </r>
  <r>
    <s v="TRZ-94735-865"/>
    <x v="310"/>
    <s v="54462-58311-YF"/>
    <s v="L-M-0.5"/>
    <n v="4"/>
    <x v="689"/>
    <s v=""/>
    <x v="1"/>
    <x v="3"/>
    <s v="M"/>
    <x v="1"/>
    <n v="8.73"/>
    <n v="34.92"/>
    <s v="Liberica"/>
    <x v="0"/>
    <x v="0"/>
  </r>
  <r>
    <s v="UDB-09651-780"/>
    <x v="560"/>
    <s v="90767-92589-LV"/>
    <s v="E-D-0.5"/>
    <n v="2"/>
    <x v="690"/>
    <s v=""/>
    <x v="0"/>
    <x v="1"/>
    <s v="D"/>
    <x v="1"/>
    <n v="7.29"/>
    <n v="14.58"/>
    <s v="Excelsa"/>
    <x v="2"/>
    <x v="1"/>
  </r>
  <r>
    <s v="EHJ-82097-549"/>
    <x v="561"/>
    <s v="27517-43747-YD"/>
    <s v="R-D-0.2"/>
    <n v="2"/>
    <x v="691"/>
    <s v=""/>
    <x v="1"/>
    <x v="0"/>
    <s v="D"/>
    <x v="3"/>
    <n v="2.6849999999999996"/>
    <n v="5.3699999999999992"/>
    <s v="Robusta"/>
    <x v="2"/>
    <x v="0"/>
  </r>
  <r>
    <s v="ZFR-79447-696"/>
    <x v="562"/>
    <s v="77828-66867-KH"/>
    <s v="R-M-0.5"/>
    <n v="1"/>
    <x v="692"/>
    <s v=""/>
    <x v="0"/>
    <x v="0"/>
    <s v="M"/>
    <x v="1"/>
    <n v="5.97"/>
    <n v="5.97"/>
    <s v="Robusta"/>
    <x v="0"/>
    <x v="0"/>
  </r>
  <r>
    <s v="NUU-03893-975"/>
    <x v="563"/>
    <s v="41054-59693-XE"/>
    <s v="L-L-0.5"/>
    <n v="2"/>
    <x v="693"/>
    <s v=""/>
    <x v="0"/>
    <x v="3"/>
    <s v="L"/>
    <x v="1"/>
    <n v="9.51"/>
    <n v="19.02"/>
    <s v="Liberica"/>
    <x v="1"/>
    <x v="1"/>
  </r>
  <r>
    <s v="GVG-59542-307"/>
    <x v="564"/>
    <s v="26314-66792-VP"/>
    <s v="E-M-1"/>
    <n v="2"/>
    <x v="694"/>
    <s v=""/>
    <x v="0"/>
    <x v="1"/>
    <s v="M"/>
    <x v="0"/>
    <n v="13.75"/>
    <n v="27.5"/>
    <s v="Excelsa"/>
    <x v="0"/>
    <x v="0"/>
  </r>
  <r>
    <s v="YLY-35287-172"/>
    <x v="565"/>
    <s v="69410-04668-MA"/>
    <s v="A-D-0.5"/>
    <n v="5"/>
    <x v="695"/>
    <s v=""/>
    <x v="0"/>
    <x v="2"/>
    <s v="D"/>
    <x v="1"/>
    <n v="5.97"/>
    <n v="29.849999999999998"/>
    <s v="Arabica"/>
    <x v="2"/>
    <x v="1"/>
  </r>
  <r>
    <s v="DCI-96254-548"/>
    <x v="566"/>
    <s v="94091-86957-HX"/>
    <s v="A-D-0.2"/>
    <n v="6"/>
    <x v="636"/>
    <s v=""/>
    <x v="1"/>
    <x v="2"/>
    <s v="D"/>
    <x v="3"/>
    <n v="2.9849999999999999"/>
    <n v="17.91"/>
    <s v="Arabica"/>
    <x v="2"/>
    <x v="1"/>
  </r>
  <r>
    <s v="KHZ-26264-253"/>
    <x v="160"/>
    <s v="24972-55878-KX"/>
    <s v="L-L-0.2"/>
    <n v="6"/>
    <x v="696"/>
    <s v=""/>
    <x v="0"/>
    <x v="3"/>
    <s v="L"/>
    <x v="3"/>
    <n v="4.7549999999999999"/>
    <n v="28.53"/>
    <s v="Liberica"/>
    <x v="1"/>
    <x v="1"/>
  </r>
  <r>
    <s v="AAQ-13644-699"/>
    <x v="567"/>
    <s v="46296-42617-OQ"/>
    <s v="R-D-1"/>
    <n v="4"/>
    <x v="697"/>
    <s v=""/>
    <x v="0"/>
    <x v="0"/>
    <s v="D"/>
    <x v="0"/>
    <n v="8.9499999999999993"/>
    <n v="35.799999999999997"/>
    <s v="Robusta"/>
    <x v="2"/>
    <x v="0"/>
  </r>
  <r>
    <s v="LWL-68108-794"/>
    <x v="568"/>
    <s v="44494-89923-UW"/>
    <s v="A-D-0.5"/>
    <n v="3"/>
    <x v="698"/>
    <s v=""/>
    <x v="0"/>
    <x v="2"/>
    <s v="D"/>
    <x v="1"/>
    <n v="5.97"/>
    <n v="17.91"/>
    <s v="Arabica"/>
    <x v="2"/>
    <x v="0"/>
  </r>
  <r>
    <s v="JQT-14347-517"/>
    <x v="569"/>
    <s v="11621-09964-ID"/>
    <s v="R-D-1"/>
    <n v="1"/>
    <x v="699"/>
    <s v=""/>
    <x v="0"/>
    <x v="0"/>
    <s v="D"/>
    <x v="0"/>
    <n v="8.9499999999999993"/>
    <n v="8.9499999999999993"/>
    <s v="Robusta"/>
    <x v="2"/>
    <x v="1"/>
  </r>
  <r>
    <s v="BMM-86471-923"/>
    <x v="570"/>
    <s v="76319-80715-II"/>
    <s v="L-D-2.5"/>
    <n v="1"/>
    <x v="700"/>
    <s v=""/>
    <x v="0"/>
    <x v="3"/>
    <s v="D"/>
    <x v="2"/>
    <n v="29.784999999999997"/>
    <n v="29.784999999999997"/>
    <s v="Liberica"/>
    <x v="2"/>
    <x v="0"/>
  </r>
  <r>
    <s v="IXU-67272-326"/>
    <x v="571"/>
    <s v="91654-79216-IC"/>
    <s v="E-L-0.5"/>
    <n v="5"/>
    <x v="701"/>
    <s v=""/>
    <x v="0"/>
    <x v="1"/>
    <s v="L"/>
    <x v="1"/>
    <n v="8.91"/>
    <n v="44.55"/>
    <s v="Excelsa"/>
    <x v="1"/>
    <x v="1"/>
  </r>
  <r>
    <s v="ITE-28312-615"/>
    <x v="139"/>
    <s v="56450-21890-HK"/>
    <s v="E-L-1"/>
    <n v="6"/>
    <x v="702"/>
    <s v=""/>
    <x v="0"/>
    <x v="1"/>
    <s v="L"/>
    <x v="0"/>
    <n v="14.85"/>
    <n v="89.1"/>
    <s v="Excelsa"/>
    <x v="1"/>
    <x v="0"/>
  </r>
  <r>
    <s v="ZHQ-30471-635"/>
    <x v="303"/>
    <s v="40600-58915-WZ"/>
    <s v="L-M-0.5"/>
    <n v="5"/>
    <x v="703"/>
    <s v=""/>
    <x v="2"/>
    <x v="3"/>
    <s v="M"/>
    <x v="1"/>
    <n v="8.73"/>
    <n v="43.650000000000006"/>
    <s v="Liberica"/>
    <x v="0"/>
    <x v="1"/>
  </r>
  <r>
    <s v="LTP-31133-134"/>
    <x v="572"/>
    <s v="66527-94478-PB"/>
    <s v="A-L-0.5"/>
    <n v="3"/>
    <x v="704"/>
    <s v=""/>
    <x v="0"/>
    <x v="2"/>
    <s v="L"/>
    <x v="1"/>
    <n v="7.77"/>
    <n v="23.31"/>
    <s v="Arabica"/>
    <x v="1"/>
    <x v="1"/>
  </r>
  <r>
    <s v="ZVQ-26122-859"/>
    <x v="573"/>
    <s v="77154-45038-IH"/>
    <s v="A-L-2.5"/>
    <n v="6"/>
    <x v="705"/>
    <s v=""/>
    <x v="0"/>
    <x v="2"/>
    <s v="L"/>
    <x v="2"/>
    <n v="29.784999999999997"/>
    <n v="178.70999999999998"/>
    <s v="Arabica"/>
    <x v="1"/>
    <x v="0"/>
  </r>
  <r>
    <s v="MIU-01481-194"/>
    <x v="574"/>
    <s v="08439-55669-AI"/>
    <s v="R-M-1"/>
    <n v="6"/>
    <x v="706"/>
    <s v=""/>
    <x v="0"/>
    <x v="0"/>
    <s v="M"/>
    <x v="0"/>
    <n v="9.9499999999999993"/>
    <n v="59.699999999999996"/>
    <s v="Robusta"/>
    <x v="0"/>
    <x v="0"/>
  </r>
  <r>
    <s v="MIU-01481-194"/>
    <x v="574"/>
    <s v="08439-55669-AI"/>
    <s v="A-L-0.5"/>
    <n v="2"/>
    <x v="706"/>
    <s v=""/>
    <x v="0"/>
    <x v="2"/>
    <s v="L"/>
    <x v="1"/>
    <n v="7.77"/>
    <n v="15.54"/>
    <s v="Arabica"/>
    <x v="1"/>
    <x v="0"/>
  </r>
  <r>
    <s v="UEA-72681-629"/>
    <x v="455"/>
    <s v="24972-55878-KX"/>
    <s v="A-L-2.5"/>
    <n v="3"/>
    <x v="696"/>
    <s v=""/>
    <x v="0"/>
    <x v="2"/>
    <s v="L"/>
    <x v="2"/>
    <n v="29.784999999999997"/>
    <n v="89.35499999999999"/>
    <s v="Arabica"/>
    <x v="1"/>
    <x v="1"/>
  </r>
  <r>
    <s v="CVE-15042-481"/>
    <x v="575"/>
    <s v="24972-55878-KX"/>
    <s v="R-L-1"/>
    <n v="2"/>
    <x v="696"/>
    <s v=""/>
    <x v="0"/>
    <x v="0"/>
    <s v="L"/>
    <x v="0"/>
    <n v="11.95"/>
    <n v="23.9"/>
    <s v="Robusta"/>
    <x v="1"/>
    <x v="1"/>
  </r>
  <r>
    <s v="EJA-79176-833"/>
    <x v="576"/>
    <s v="91509-62250-GN"/>
    <s v="R-M-2.5"/>
    <n v="6"/>
    <x v="707"/>
    <s v=""/>
    <x v="2"/>
    <x v="0"/>
    <s v="M"/>
    <x v="2"/>
    <n v="22.884999999999998"/>
    <n v="137.31"/>
    <s v="Robusta"/>
    <x v="0"/>
    <x v="1"/>
  </r>
  <r>
    <s v="AHQ-40440-522"/>
    <x v="577"/>
    <s v="83833-46106-ZC"/>
    <s v="A-D-1"/>
    <n v="1"/>
    <x v="708"/>
    <s v=""/>
    <x v="0"/>
    <x v="2"/>
    <s v="D"/>
    <x v="0"/>
    <n v="9.9499999999999993"/>
    <n v="9.9499999999999993"/>
    <s v="Arabica"/>
    <x v="2"/>
    <x v="1"/>
  </r>
  <r>
    <s v="TID-21626-411"/>
    <x v="578"/>
    <s v="19383-33606-PW"/>
    <s v="R-L-0.5"/>
    <n v="3"/>
    <x v="709"/>
    <s v=""/>
    <x v="0"/>
    <x v="0"/>
    <s v="L"/>
    <x v="1"/>
    <n v="7.169999999999999"/>
    <n v="21.509999999999998"/>
    <s v="Robusta"/>
    <x v="1"/>
    <x v="1"/>
  </r>
  <r>
    <s v="RSR-96390-187"/>
    <x v="579"/>
    <s v="67052-76184-CB"/>
    <s v="E-M-1"/>
    <n v="6"/>
    <x v="710"/>
    <s v=""/>
    <x v="0"/>
    <x v="1"/>
    <s v="M"/>
    <x v="0"/>
    <n v="13.75"/>
    <n v="82.5"/>
    <s v="Excelsa"/>
    <x v="0"/>
    <x v="1"/>
  </r>
  <r>
    <s v="BZE-96093-118"/>
    <x v="91"/>
    <s v="43452-18035-DH"/>
    <s v="L-M-0.2"/>
    <n v="2"/>
    <x v="711"/>
    <s v=""/>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
    <x v="0"/>
    <x v="1"/>
    <s v="L"/>
    <x v="1"/>
    <n v="8.91"/>
    <n v="17.82"/>
    <s v="Excelsa"/>
    <x v="1"/>
    <x v="0"/>
  </r>
  <r>
    <s v="ASG-27179-958"/>
    <x v="580"/>
    <s v="12607-75113-UV"/>
    <s v="A-M-0.5"/>
    <n v="3"/>
    <x v="714"/>
    <s v=""/>
    <x v="0"/>
    <x v="2"/>
    <s v="M"/>
    <x v="1"/>
    <n v="6.75"/>
    <n v="20.25"/>
    <s v="Arabica"/>
    <x v="0"/>
    <x v="1"/>
  </r>
  <r>
    <s v="YKX-23510-272"/>
    <x v="581"/>
    <s v="56991-05510-PR"/>
    <s v="A-L-2.5"/>
    <n v="2"/>
    <x v="715"/>
    <s v=""/>
    <x v="0"/>
    <x v="2"/>
    <s v="L"/>
    <x v="2"/>
    <n v="29.784999999999997"/>
    <n v="59.569999999999993"/>
    <s v="Arabica"/>
    <x v="1"/>
    <x v="1"/>
  </r>
  <r>
    <s v="FSA-98650-921"/>
    <x v="489"/>
    <s v="01841-48191-NL"/>
    <s v="L-L-0.5"/>
    <n v="2"/>
    <x v="716"/>
    <s v=""/>
    <x v="0"/>
    <x v="3"/>
    <s v="L"/>
    <x v="1"/>
    <n v="9.51"/>
    <n v="19.02"/>
    <s v="Liberica"/>
    <x v="1"/>
    <x v="0"/>
  </r>
  <r>
    <s v="ZUR-55774-294"/>
    <x v="234"/>
    <s v="33269-10023-CO"/>
    <s v="L-D-1"/>
    <n v="6"/>
    <x v="717"/>
    <s v=""/>
    <x v="0"/>
    <x v="3"/>
    <s v="D"/>
    <x v="0"/>
    <n v="12.95"/>
    <n v="77.699999999999989"/>
    <s v="Liberica"/>
    <x v="2"/>
    <x v="0"/>
  </r>
  <r>
    <s v="FUO-99821-974"/>
    <x v="175"/>
    <s v="31245-81098-PJ"/>
    <s v="E-M-1"/>
    <n v="3"/>
    <x v="718"/>
    <s v=""/>
    <x v="0"/>
    <x v="1"/>
    <s v="M"/>
    <x v="0"/>
    <n v="13.75"/>
    <n v="41.25"/>
    <s v="Excelsa"/>
    <x v="0"/>
    <x v="1"/>
  </r>
  <r>
    <s v="YVH-19865-819"/>
    <x v="582"/>
    <s v="08946-56610-IH"/>
    <s v="L-L-2.5"/>
    <n v="4"/>
    <x v="719"/>
    <s v=""/>
    <x v="0"/>
    <x v="3"/>
    <s v="L"/>
    <x v="2"/>
    <n v="36.454999999999998"/>
    <n v="145.82"/>
    <s v="Liberica"/>
    <x v="1"/>
    <x v="1"/>
  </r>
  <r>
    <s v="NNF-47422-501"/>
    <x v="583"/>
    <s v="20260-32948-EB"/>
    <s v="E-L-0.2"/>
    <n v="6"/>
    <x v="720"/>
    <s v=""/>
    <x v="1"/>
    <x v="1"/>
    <s v="L"/>
    <x v="3"/>
    <n v="4.4550000000000001"/>
    <n v="26.73"/>
    <s v="Excelsa"/>
    <x v="1"/>
    <x v="1"/>
  </r>
  <r>
    <s v="RJI-71409-490"/>
    <x v="548"/>
    <s v="31613-41626-KX"/>
    <s v="L-M-0.5"/>
    <n v="5"/>
    <x v="721"/>
    <s v=""/>
    <x v="0"/>
    <x v="3"/>
    <s v="M"/>
    <x v="1"/>
    <n v="8.73"/>
    <n v="43.650000000000006"/>
    <s v="Liberica"/>
    <x v="0"/>
    <x v="0"/>
  </r>
  <r>
    <s v="UZL-46108-213"/>
    <x v="584"/>
    <s v="75961-20170-RD"/>
    <s v="L-L-1"/>
    <n v="2"/>
    <x v="722"/>
    <s v=""/>
    <x v="0"/>
    <x v="3"/>
    <s v="L"/>
    <x v="0"/>
    <n v="15.85"/>
    <n v="31.7"/>
    <s v="Liberica"/>
    <x v="1"/>
    <x v="1"/>
  </r>
  <r>
    <s v="AOX-44467-109"/>
    <x v="64"/>
    <s v="72524-06410-KD"/>
    <s v="A-D-2.5"/>
    <n v="1"/>
    <x v="723"/>
    <s v=""/>
    <x v="0"/>
    <x v="2"/>
    <s v="D"/>
    <x v="2"/>
    <n v="22.884999999999998"/>
    <n v="22.884999999999998"/>
    <s v="Arabica"/>
    <x v="2"/>
    <x v="1"/>
  </r>
  <r>
    <s v="TZD-67261-174"/>
    <x v="585"/>
    <s v="01841-48191-NL"/>
    <s v="E-D-2.5"/>
    <n v="1"/>
    <x v="716"/>
    <s v=""/>
    <x v="0"/>
    <x v="1"/>
    <s v="D"/>
    <x v="2"/>
    <n v="27.945"/>
    <n v="27.945"/>
    <s v="Excelsa"/>
    <x v="2"/>
    <x v="0"/>
  </r>
  <r>
    <s v="TBU-64277-625"/>
    <x v="32"/>
    <s v="98918-34330-GY"/>
    <s v="E-M-1"/>
    <n v="6"/>
    <x v="724"/>
    <s v=""/>
    <x v="0"/>
    <x v="1"/>
    <s v="M"/>
    <x v="0"/>
    <n v="13.75"/>
    <n v="82.5"/>
    <s v="Excelsa"/>
    <x v="0"/>
    <x v="0"/>
  </r>
  <r>
    <s v="TYP-85767-944"/>
    <x v="586"/>
    <s v="51497-50894-WU"/>
    <s v="R-M-2.5"/>
    <n v="2"/>
    <x v="725"/>
    <s v=""/>
    <x v="1"/>
    <x v="0"/>
    <s v="M"/>
    <x v="2"/>
    <n v="22.884999999999998"/>
    <n v="45.769999999999996"/>
    <s v="Robusta"/>
    <x v="0"/>
    <x v="0"/>
  </r>
  <r>
    <s v="GTT-73214-334"/>
    <x v="535"/>
    <s v="98636-90072-YE"/>
    <s v="A-L-1"/>
    <n v="6"/>
    <x v="726"/>
    <s v=""/>
    <x v="0"/>
    <x v="2"/>
    <s v="L"/>
    <x v="0"/>
    <n v="12.95"/>
    <n v="77.699999999999989"/>
    <s v="Arabica"/>
    <x v="1"/>
    <x v="1"/>
  </r>
  <r>
    <s v="WAI-89905-069"/>
    <x v="587"/>
    <s v="47011-57815-HJ"/>
    <s v="A-L-0.5"/>
    <n v="3"/>
    <x v="727"/>
    <s v=""/>
    <x v="0"/>
    <x v="2"/>
    <s v="L"/>
    <x v="1"/>
    <n v="7.77"/>
    <n v="23.31"/>
    <s v="Arabica"/>
    <x v="1"/>
    <x v="1"/>
  </r>
  <r>
    <s v="OJL-96844-459"/>
    <x v="393"/>
    <s v="61253-98356-VD"/>
    <s v="L-L-0.2"/>
    <n v="5"/>
    <x v="728"/>
    <s v=""/>
    <x v="0"/>
    <x v="3"/>
    <s v="L"/>
    <x v="3"/>
    <n v="4.7549999999999999"/>
    <n v="23.774999999999999"/>
    <s v="Liberica"/>
    <x v="1"/>
    <x v="0"/>
  </r>
  <r>
    <s v="VGI-33205-360"/>
    <x v="588"/>
    <s v="96762-10814-DA"/>
    <s v="L-M-0.5"/>
    <n v="6"/>
    <x v="729"/>
    <s v=""/>
    <x v="2"/>
    <x v="3"/>
    <s v="M"/>
    <x v="1"/>
    <n v="8.73"/>
    <n v="52.38"/>
    <s v="Liberica"/>
    <x v="0"/>
    <x v="0"/>
  </r>
  <r>
    <s v="PCA-14081-576"/>
    <x v="15"/>
    <s v="63112-10870-LC"/>
    <s v="R-L-0.2"/>
    <n v="5"/>
    <x v="730"/>
    <s v=""/>
    <x v="0"/>
    <x v="0"/>
    <s v="L"/>
    <x v="3"/>
    <n v="3.5849999999999995"/>
    <n v="17.924999999999997"/>
    <s v="Robusta"/>
    <x v="1"/>
    <x v="1"/>
  </r>
  <r>
    <s v="SCS-67069-962"/>
    <x v="507"/>
    <s v="21403-49423-PD"/>
    <s v="A-L-2.5"/>
    <n v="5"/>
    <x v="731"/>
    <s v=""/>
    <x v="0"/>
    <x v="2"/>
    <s v="L"/>
    <x v="2"/>
    <n v="29.784999999999997"/>
    <n v="148.92499999999998"/>
    <s v="Arabica"/>
    <x v="1"/>
    <x v="1"/>
  </r>
  <r>
    <s v="BDM-03174-485"/>
    <x v="533"/>
    <s v="29581-13303-VB"/>
    <s v="R-L-0.5"/>
    <n v="4"/>
    <x v="732"/>
    <s v=""/>
    <x v="0"/>
    <x v="0"/>
    <s v="L"/>
    <x v="1"/>
    <n v="7.169999999999999"/>
    <n v="28.679999999999996"/>
    <s v="Robusta"/>
    <x v="1"/>
    <x v="1"/>
  </r>
  <r>
    <s v="UJV-32333-364"/>
    <x v="589"/>
    <s v="86110-83695-YS"/>
    <s v="L-L-0.5"/>
    <n v="1"/>
    <x v="733"/>
    <s v=""/>
    <x v="0"/>
    <x v="3"/>
    <s v="L"/>
    <x v="1"/>
    <n v="9.51"/>
    <n v="9.51"/>
    <s v="Liberica"/>
    <x v="1"/>
    <x v="1"/>
  </r>
  <r>
    <s v="FLI-11493-954"/>
    <x v="590"/>
    <s v="80454-42225-FT"/>
    <s v="A-L-0.5"/>
    <n v="4"/>
    <x v="734"/>
    <s v=""/>
    <x v="0"/>
    <x v="2"/>
    <s v="L"/>
    <x v="1"/>
    <n v="7.77"/>
    <n v="31.08"/>
    <s v="Arabica"/>
    <x v="1"/>
    <x v="1"/>
  </r>
  <r>
    <s v="IWL-13117-537"/>
    <x v="457"/>
    <s v="29129-60664-KO"/>
    <s v="R-D-0.2"/>
    <n v="3"/>
    <x v="735"/>
    <s v=""/>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
    <x v="1"/>
    <x v="0"/>
    <s v="D"/>
    <x v="3"/>
    <n v="2.6849999999999996"/>
    <n v="16.11"/>
    <s v="Robusta"/>
    <x v="2"/>
    <x v="1"/>
  </r>
  <r>
    <s v="LXR-09892-726"/>
    <x v="402"/>
    <s v="50924-94200-SQ"/>
    <s v="R-D-2.5"/>
    <n v="2"/>
    <x v="738"/>
    <s v=""/>
    <x v="0"/>
    <x v="0"/>
    <s v="D"/>
    <x v="2"/>
    <n v="20.584999999999997"/>
    <n v="41.169999999999995"/>
    <s v="Robusta"/>
    <x v="2"/>
    <x v="0"/>
  </r>
  <r>
    <s v="QXX-89943-393"/>
    <x v="593"/>
    <s v="15673-18812-IU"/>
    <s v="R-D-0.2"/>
    <n v="4"/>
    <x v="739"/>
    <s v=""/>
    <x v="0"/>
    <x v="0"/>
    <s v="D"/>
    <x v="3"/>
    <n v="2.6849999999999996"/>
    <n v="10.739999999999998"/>
    <s v="Robusta"/>
    <x v="2"/>
    <x v="1"/>
  </r>
  <r>
    <s v="WVS-57822-366"/>
    <x v="594"/>
    <s v="52151-75971-YY"/>
    <s v="E-M-2.5"/>
    <n v="4"/>
    <x v="740"/>
    <s v=""/>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
    <x v="0"/>
    <x v="3"/>
    <s v="L"/>
    <x v="1"/>
    <n v="9.51"/>
    <n v="28.53"/>
    <s v="Liberica"/>
    <x v="1"/>
    <x v="1"/>
  </r>
  <r>
    <s v="KHO-27106-786"/>
    <x v="210"/>
    <s v="01603-43789-TN"/>
    <s v="A-M-1"/>
    <n v="6"/>
    <x v="748"/>
    <s v=""/>
    <x v="1"/>
    <x v="2"/>
    <s v="M"/>
    <x v="0"/>
    <n v="11.25"/>
    <n v="67.5"/>
    <s v="Arabica"/>
    <x v="0"/>
    <x v="0"/>
  </r>
  <r>
    <s v="KHO-27106-786"/>
    <x v="210"/>
    <s v="01603-43789-TN"/>
    <s v="L-D-2.5"/>
    <n v="6"/>
    <x v="748"/>
    <s v=""/>
    <x v="1"/>
    <x v="3"/>
    <s v="D"/>
    <x v="2"/>
    <n v="29.784999999999997"/>
    <n v="178.70999999999998"/>
    <s v="Liberica"/>
    <x v="2"/>
    <x v="0"/>
  </r>
  <r>
    <s v="YAC-50329-982"/>
    <x v="598"/>
    <s v="75419-92838-TI"/>
    <s v="E-M-2.5"/>
    <n v="1"/>
    <x v="749"/>
    <s v=""/>
    <x v="0"/>
    <x v="1"/>
    <s v="M"/>
    <x v="2"/>
    <n v="31.624999999999996"/>
    <n v="31.624999999999996"/>
    <s v="Excelsa"/>
    <x v="0"/>
    <x v="0"/>
  </r>
  <r>
    <s v="VVL-95291-039"/>
    <x v="360"/>
    <s v="96516-97464-MF"/>
    <s v="E-L-0.2"/>
    <n v="2"/>
    <x v="750"/>
    <s v=""/>
    <x v="0"/>
    <x v="1"/>
    <s v="L"/>
    <x v="3"/>
    <n v="4.4550000000000001"/>
    <n v="8.91"/>
    <s v="Excelsa"/>
    <x v="1"/>
    <x v="1"/>
  </r>
  <r>
    <s v="VUT-20974-364"/>
    <x v="62"/>
    <s v="90285-56295-PO"/>
    <s v="R-M-0.5"/>
    <n v="6"/>
    <x v="751"/>
    <s v=""/>
    <x v="0"/>
    <x v="0"/>
    <s v="M"/>
    <x v="1"/>
    <n v="5.97"/>
    <n v="35.82"/>
    <s v="Robusta"/>
    <x v="0"/>
    <x v="1"/>
  </r>
  <r>
    <s v="SFC-34054-213"/>
    <x v="599"/>
    <s v="08100-71102-HQ"/>
    <s v="L-L-0.5"/>
    <n v="4"/>
    <x v="752"/>
    <s v=""/>
    <x v="1"/>
    <x v="3"/>
    <s v="L"/>
    <x v="1"/>
    <n v="9.51"/>
    <n v="38.04"/>
    <s v="Liberica"/>
    <x v="1"/>
    <x v="1"/>
  </r>
  <r>
    <s v="UDS-04807-593"/>
    <x v="600"/>
    <s v="84074-28110-OV"/>
    <s v="L-D-0.5"/>
    <n v="2"/>
    <x v="753"/>
    <s v=""/>
    <x v="0"/>
    <x v="3"/>
    <s v="D"/>
    <x v="1"/>
    <n v="7.77"/>
    <n v="15.54"/>
    <s v="Liberica"/>
    <x v="2"/>
    <x v="1"/>
  </r>
  <r>
    <s v="FWE-98471-488"/>
    <x v="601"/>
    <s v="27930-59250-JT"/>
    <s v="L-L-1"/>
    <n v="5"/>
    <x v="745"/>
    <s v=""/>
    <x v="0"/>
    <x v="3"/>
    <s v="L"/>
    <x v="0"/>
    <n v="15.85"/>
    <n v="79.25"/>
    <s v="Liberica"/>
    <x v="1"/>
    <x v="1"/>
  </r>
  <r>
    <s v="RAU-17060-674"/>
    <x v="602"/>
    <s v="12747-63766-EU"/>
    <s v="L-L-0.2"/>
    <n v="1"/>
    <x v="754"/>
    <s v=""/>
    <x v="0"/>
    <x v="3"/>
    <s v="L"/>
    <x v="3"/>
    <n v="4.7549999999999999"/>
    <n v="4.7549999999999999"/>
    <s v="Liberica"/>
    <x v="1"/>
    <x v="0"/>
  </r>
  <r>
    <s v="AOL-13866-711"/>
    <x v="603"/>
    <s v="83490-88357-LJ"/>
    <s v="E-M-1"/>
    <n v="4"/>
    <x v="755"/>
    <s v=""/>
    <x v="0"/>
    <x v="1"/>
    <s v="M"/>
    <x v="0"/>
    <n v="13.75"/>
    <n v="55"/>
    <s v="Excelsa"/>
    <x v="0"/>
    <x v="0"/>
  </r>
  <r>
    <s v="NOA-79645-377"/>
    <x v="604"/>
    <s v="53729-30320-XZ"/>
    <s v="R-D-0.5"/>
    <n v="5"/>
    <x v="756"/>
    <s v=""/>
    <x v="0"/>
    <x v="0"/>
    <s v="D"/>
    <x v="1"/>
    <n v="5.3699999999999992"/>
    <n v="26.849999999999994"/>
    <s v="Robusta"/>
    <x v="2"/>
    <x v="1"/>
  </r>
  <r>
    <s v="KMS-49214-806"/>
    <x v="605"/>
    <s v="50384-52703-LA"/>
    <s v="E-L-2.5"/>
    <n v="4"/>
    <x v="757"/>
    <s v=""/>
    <x v="0"/>
    <x v="1"/>
    <s v="L"/>
    <x v="2"/>
    <n v="34.154999999999994"/>
    <n v="136.61999999999998"/>
    <s v="Excelsa"/>
    <x v="1"/>
    <x v="1"/>
  </r>
  <r>
    <s v="ABK-08091-531"/>
    <x v="606"/>
    <s v="53864-36201-FG"/>
    <s v="L-L-1"/>
    <n v="3"/>
    <x v="758"/>
    <s v=""/>
    <x v="0"/>
    <x v="3"/>
    <s v="L"/>
    <x v="0"/>
    <n v="15.85"/>
    <n v="47.55"/>
    <s v="Liberica"/>
    <x v="1"/>
    <x v="0"/>
  </r>
  <r>
    <s v="GPT-67705-953"/>
    <x v="446"/>
    <s v="70631-33225-MZ"/>
    <s v="A-M-0.2"/>
    <n v="5"/>
    <x v="759"/>
    <s v=""/>
    <x v="0"/>
    <x v="2"/>
    <s v="M"/>
    <x v="3"/>
    <n v="3.375"/>
    <n v="16.875"/>
    <s v="Arabica"/>
    <x v="0"/>
    <x v="0"/>
  </r>
  <r>
    <s v="JNA-21450-177"/>
    <x v="18"/>
    <s v="54798-14109-HC"/>
    <s v="A-D-1"/>
    <n v="3"/>
    <x v="760"/>
    <s v=""/>
    <x v="0"/>
    <x v="2"/>
    <s v="D"/>
    <x v="0"/>
    <n v="9.9499999999999993"/>
    <n v="29.849999999999998"/>
    <s v="Arabica"/>
    <x v="2"/>
    <x v="0"/>
  </r>
  <r>
    <s v="MPQ-23421-608"/>
    <x v="180"/>
    <s v="08023-52962-ET"/>
    <s v="E-M-0.5"/>
    <n v="5"/>
    <x v="761"/>
    <s v=""/>
    <x v="0"/>
    <x v="1"/>
    <s v="M"/>
    <x v="1"/>
    <n v="8.25"/>
    <n v="41.25"/>
    <s v="Excelsa"/>
    <x v="0"/>
    <x v="0"/>
  </r>
  <r>
    <s v="NLI-63891-565"/>
    <x v="580"/>
    <s v="41899-00283-VK"/>
    <s v="E-M-0.2"/>
    <n v="5"/>
    <x v="762"/>
    <s v=""/>
    <x v="0"/>
    <x v="1"/>
    <s v="M"/>
    <x v="3"/>
    <n v="4.125"/>
    <n v="20.625"/>
    <s v="Excelsa"/>
    <x v="0"/>
    <x v="1"/>
  </r>
  <r>
    <s v="HHF-36647-854"/>
    <x v="453"/>
    <s v="39011-18412-GR"/>
    <s v="A-D-2.5"/>
    <n v="6"/>
    <x v="763"/>
    <s v=""/>
    <x v="0"/>
    <x v="2"/>
    <s v="D"/>
    <x v="2"/>
    <n v="22.884999999999998"/>
    <n v="137.31"/>
    <s v="Arabica"/>
    <x v="2"/>
    <x v="0"/>
  </r>
  <r>
    <s v="SBN-16537-046"/>
    <x v="259"/>
    <s v="60255-12579-PZ"/>
    <s v="A-D-0.2"/>
    <n v="1"/>
    <x v="764"/>
    <s v=""/>
    <x v="0"/>
    <x v="2"/>
    <s v="D"/>
    <x v="3"/>
    <n v="2.9849999999999999"/>
    <n v="2.9849999999999999"/>
    <s v="Arabica"/>
    <x v="2"/>
    <x v="1"/>
  </r>
  <r>
    <s v="XZD-44484-632"/>
    <x v="607"/>
    <s v="80541-38332-BP"/>
    <s v="E-M-1"/>
    <n v="2"/>
    <x v="765"/>
    <s v=""/>
    <x v="0"/>
    <x v="1"/>
    <s v="M"/>
    <x v="0"/>
    <n v="13.75"/>
    <n v="27.5"/>
    <s v="Excelsa"/>
    <x v="0"/>
    <x v="1"/>
  </r>
  <r>
    <s v="XZD-44484-632"/>
    <x v="607"/>
    <s v="80541-38332-BP"/>
    <s v="A-D-0.2"/>
    <n v="2"/>
    <x v="765"/>
    <s v=""/>
    <x v="0"/>
    <x v="2"/>
    <s v="D"/>
    <x v="3"/>
    <n v="2.9849999999999999"/>
    <n v="5.97"/>
    <s v="Arabica"/>
    <x v="2"/>
    <x v="1"/>
  </r>
  <r>
    <s v="IKQ-39946-768"/>
    <x v="385"/>
    <s v="72778-50968-UQ"/>
    <s v="R-M-1"/>
    <n v="6"/>
    <x v="766"/>
    <s v=""/>
    <x v="0"/>
    <x v="0"/>
    <s v="M"/>
    <x v="0"/>
    <n v="9.9499999999999993"/>
    <n v="59.699999999999996"/>
    <s v="Robusta"/>
    <x v="0"/>
    <x v="1"/>
  </r>
  <r>
    <s v="KMB-95211-174"/>
    <x v="608"/>
    <s v="23941-30203-MO"/>
    <s v="R-D-2.5"/>
    <n v="4"/>
    <x v="767"/>
    <s v=""/>
    <x v="0"/>
    <x v="0"/>
    <s v="D"/>
    <x v="2"/>
    <n v="20.584999999999997"/>
    <n v="82.339999999999989"/>
    <s v="Robusta"/>
    <x v="2"/>
    <x v="0"/>
  </r>
  <r>
    <s v="QWY-99467-368"/>
    <x v="609"/>
    <s v="96434-50068-DZ"/>
    <s v="A-D-2.5"/>
    <n v="1"/>
    <x v="768"/>
    <s v=""/>
    <x v="0"/>
    <x v="2"/>
    <s v="D"/>
    <x v="2"/>
    <n v="22.884999999999998"/>
    <n v="22.884999999999998"/>
    <s v="Arabica"/>
    <x v="2"/>
    <x v="1"/>
  </r>
  <r>
    <s v="SRG-76791-614"/>
    <x v="147"/>
    <s v="11729-74102-XB"/>
    <s v="E-L-0.5"/>
    <n v="1"/>
    <x v="769"/>
    <s v=""/>
    <x v="0"/>
    <x v="1"/>
    <s v="L"/>
    <x v="1"/>
    <n v="8.91"/>
    <n v="8.91"/>
    <s v="Excelsa"/>
    <x v="1"/>
    <x v="0"/>
  </r>
  <r>
    <s v="VSN-94485-621"/>
    <x v="172"/>
    <s v="88116-12604-TE"/>
    <s v="A-D-0.2"/>
    <n v="4"/>
    <x v="770"/>
    <s v=""/>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
    <x v="0"/>
    <x v="2"/>
    <s v="D"/>
    <x v="2"/>
    <n v="22.884999999999998"/>
    <n v="114.42499999999998"/>
    <s v="Arabica"/>
    <x v="2"/>
    <x v="1"/>
  </r>
  <r>
    <s v="AVH-56062-335"/>
    <x v="612"/>
    <s v="18082-74419-QH"/>
    <s v="E-M-0.5"/>
    <n v="5"/>
    <x v="772"/>
    <s v=""/>
    <x v="0"/>
    <x v="1"/>
    <s v="M"/>
    <x v="1"/>
    <n v="8.25"/>
    <n v="41.25"/>
    <s v="Excelsa"/>
    <x v="0"/>
    <x v="1"/>
  </r>
  <r>
    <s v="HGE-19842-613"/>
    <x v="613"/>
    <s v="49401-45041-ZU"/>
    <s v="R-L-0.5"/>
    <n v="4"/>
    <x v="773"/>
    <s v=""/>
    <x v="0"/>
    <x v="0"/>
    <s v="L"/>
    <x v="1"/>
    <n v="7.169999999999999"/>
    <n v="28.679999999999996"/>
    <s v="Robusta"/>
    <x v="1"/>
    <x v="0"/>
  </r>
  <r>
    <s v="WBA-85905-175"/>
    <x v="611"/>
    <s v="41252-45992-VS"/>
    <s v="L-M-0.2"/>
    <n v="1"/>
    <x v="774"/>
    <s v=""/>
    <x v="0"/>
    <x v="3"/>
    <s v="M"/>
    <x v="3"/>
    <n v="4.3650000000000002"/>
    <n v="4.3650000000000002"/>
    <s v="Liberica"/>
    <x v="0"/>
    <x v="1"/>
  </r>
  <r>
    <s v="DZI-35365-596"/>
    <x v="493"/>
    <s v="54798-14109-HC"/>
    <s v="E-M-0.2"/>
    <n v="2"/>
    <x v="760"/>
    <s v=""/>
    <x v="0"/>
    <x v="1"/>
    <s v="M"/>
    <x v="3"/>
    <n v="4.125"/>
    <n v="8.25"/>
    <s v="Excelsa"/>
    <x v="0"/>
    <x v="0"/>
  </r>
  <r>
    <s v="XIR-88982-743"/>
    <x v="614"/>
    <s v="00852-54571-WP"/>
    <s v="E-M-0.2"/>
    <n v="2"/>
    <x v="775"/>
    <s v=""/>
    <x v="0"/>
    <x v="1"/>
    <s v="M"/>
    <x v="3"/>
    <n v="4.125"/>
    <n v="8.25"/>
    <s v="Excelsa"/>
    <x v="0"/>
    <x v="0"/>
  </r>
  <r>
    <s v="VUC-72395-865"/>
    <x v="151"/>
    <s v="13321-57602-GK"/>
    <s v="A-D-0.5"/>
    <n v="6"/>
    <x v="776"/>
    <s v=""/>
    <x v="0"/>
    <x v="2"/>
    <s v="D"/>
    <x v="1"/>
    <n v="5.97"/>
    <n v="35.82"/>
    <s v="Arabica"/>
    <x v="2"/>
    <x v="0"/>
  </r>
  <r>
    <s v="BQJ-44755-910"/>
    <x v="489"/>
    <s v="75006-89922-VW"/>
    <s v="E-D-2.5"/>
    <n v="6"/>
    <x v="777"/>
    <s 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
    <x v="0"/>
    <x v="2"/>
    <s v="D"/>
    <x v="3"/>
    <n v="2.9849999999999999"/>
    <n v="8.9550000000000001"/>
    <s v="Arabica"/>
    <x v="2"/>
    <x v="0"/>
  </r>
  <r>
    <s v="IMP-12563-728"/>
    <x v="578"/>
    <s v="68346-14810-UA"/>
    <s v="E-L-0.5"/>
    <n v="6"/>
    <x v="780"/>
    <s v=""/>
    <x v="0"/>
    <x v="1"/>
    <s v="L"/>
    <x v="1"/>
    <n v="8.91"/>
    <n v="53.46"/>
    <s v="Excelsa"/>
    <x v="1"/>
    <x v="1"/>
  </r>
  <r>
    <s v="MZL-81126-390"/>
    <x v="617"/>
    <s v="48464-99723-HK"/>
    <s v="A-L-0.2"/>
    <n v="6"/>
    <x v="781"/>
    <s v=""/>
    <x v="0"/>
    <x v="2"/>
    <s v="L"/>
    <x v="3"/>
    <n v="3.8849999999999998"/>
    <n v="23.31"/>
    <s v="Arabica"/>
    <x v="1"/>
    <x v="0"/>
  </r>
  <r>
    <s v="MZL-81126-390"/>
    <x v="617"/>
    <s v="48464-99723-HK"/>
    <s v="A-M-0.2"/>
    <n v="2"/>
    <x v="781"/>
    <s v=""/>
    <x v="0"/>
    <x v="2"/>
    <s v="M"/>
    <x v="3"/>
    <n v="3.375"/>
    <n v="6.75"/>
    <s v="Arabica"/>
    <x v="0"/>
    <x v="0"/>
  </r>
  <r>
    <s v="TVF-57766-608"/>
    <x v="155"/>
    <s v="88420-46464-XE"/>
    <s v="L-D-0.5"/>
    <n v="1"/>
    <x v="782"/>
    <s v=""/>
    <x v="0"/>
    <x v="3"/>
    <s v="D"/>
    <x v="1"/>
    <n v="7.77"/>
    <n v="7.77"/>
    <s v="Liberica"/>
    <x v="2"/>
    <x v="0"/>
  </r>
  <r>
    <s v="RUX-37995-892"/>
    <x v="461"/>
    <s v="37762-09530-MP"/>
    <s v="L-D-2.5"/>
    <n v="4"/>
    <x v="783"/>
    <s v=""/>
    <x v="0"/>
    <x v="3"/>
    <s v="D"/>
    <x v="2"/>
    <n v="29.784999999999997"/>
    <n v="119.13999999999999"/>
    <s v="Liberica"/>
    <x v="2"/>
    <x v="0"/>
  </r>
  <r>
    <s v="AVK-76526-953"/>
    <x v="87"/>
    <s v="47268-50127-XY"/>
    <s v="A-D-1"/>
    <n v="2"/>
    <x v="784"/>
    <s v=""/>
    <x v="0"/>
    <x v="2"/>
    <s v="D"/>
    <x v="0"/>
    <n v="9.9499999999999993"/>
    <n v="19.899999999999999"/>
    <s v="Arabica"/>
    <x v="2"/>
    <x v="1"/>
  </r>
  <r>
    <s v="RIU-02231-623"/>
    <x v="618"/>
    <s v="25544-84179-QC"/>
    <s v="R-L-0.5"/>
    <n v="5"/>
    <x v="785"/>
    <s v=""/>
    <x v="0"/>
    <x v="0"/>
    <s v="L"/>
    <x v="1"/>
    <n v="7.169999999999999"/>
    <n v="35.849999999999994"/>
    <s v="Robusta"/>
    <x v="1"/>
    <x v="0"/>
  </r>
  <r>
    <s v="WFK-99317-827"/>
    <x v="619"/>
    <s v="32058-76765-ZL"/>
    <s v="L-D-2.5"/>
    <n v="3"/>
    <x v="786"/>
    <s v=""/>
    <x v="0"/>
    <x v="3"/>
    <s v="D"/>
    <x v="2"/>
    <n v="29.784999999999997"/>
    <n v="89.35499999999999"/>
    <s v="Liberica"/>
    <x v="2"/>
    <x v="1"/>
  </r>
  <r>
    <s v="SFD-00372-284"/>
    <x v="440"/>
    <s v="54798-14109-HC"/>
    <s v="L-M-0.2"/>
    <n v="2"/>
    <x v="760"/>
    <s v=""/>
    <x v="0"/>
    <x v="3"/>
    <s v="M"/>
    <x v="3"/>
    <n v="4.3650000000000002"/>
    <n v="8.73"/>
    <s v="Liberica"/>
    <x v="0"/>
    <x v="0"/>
  </r>
  <r>
    <s v="SXC-62166-515"/>
    <x v="489"/>
    <s v="69171-65646-UC"/>
    <s v="R-L-2.5"/>
    <n v="5"/>
    <x v="787"/>
    <s v=""/>
    <x v="0"/>
    <x v="0"/>
    <s v="L"/>
    <x v="2"/>
    <n v="27.484999999999996"/>
    <n v="137.42499999999998"/>
    <s v="Robusta"/>
    <x v="1"/>
    <x v="1"/>
  </r>
  <r>
    <s v="YIE-87008-621"/>
    <x v="620"/>
    <s v="22503-52799-MI"/>
    <s v="L-M-0.5"/>
    <n v="4"/>
    <x v="788"/>
    <s v=""/>
    <x v="0"/>
    <x v="3"/>
    <s v="M"/>
    <x v="1"/>
    <n v="8.73"/>
    <n v="34.92"/>
    <s v="Liberica"/>
    <x v="0"/>
    <x v="1"/>
  </r>
  <r>
    <s v="HRM-94548-288"/>
    <x v="621"/>
    <s v="08934-65581-ZI"/>
    <s v="A-L-2.5"/>
    <n v="6"/>
    <x v="789"/>
    <s v=""/>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
    <x v="0"/>
    <x v="3"/>
    <s v="D"/>
    <x v="0"/>
    <n v="12.95"/>
    <n v="77.699999999999989"/>
    <s v="Liberica"/>
    <x v="2"/>
    <x v="0"/>
  </r>
  <r>
    <s v="CIX-22904-641"/>
    <x v="622"/>
    <s v="78012-56878-UB"/>
    <s v="R-M-1"/>
    <n v="1"/>
    <x v="792"/>
    <s v=""/>
    <x v="0"/>
    <x v="0"/>
    <s v="M"/>
    <x v="0"/>
    <n v="9.9499999999999993"/>
    <n v="9.9499999999999993"/>
    <s v="Robusta"/>
    <x v="0"/>
    <x v="0"/>
  </r>
  <r>
    <s v="DLV-65840-759"/>
    <x v="623"/>
    <s v="77192-72145-RG"/>
    <s v="L-M-1"/>
    <n v="2"/>
    <x v="793"/>
    <s v=""/>
    <x v="0"/>
    <x v="3"/>
    <s v="M"/>
    <x v="0"/>
    <n v="14.55"/>
    <n v="29.1"/>
    <s v="Liberica"/>
    <x v="0"/>
    <x v="0"/>
  </r>
  <r>
    <s v="RXN-55491-201"/>
    <x v="354"/>
    <s v="86071-79238-CX"/>
    <s v="R-L-0.2"/>
    <n v="6"/>
    <x v="794"/>
    <s v=""/>
    <x v="1"/>
    <x v="0"/>
    <s v="L"/>
    <x v="3"/>
    <n v="3.5849999999999995"/>
    <n v="21.509999999999998"/>
    <s v="Robusta"/>
    <x v="1"/>
    <x v="1"/>
  </r>
  <r>
    <s v="UHK-63283-868"/>
    <x v="624"/>
    <s v="16809-16936-WF"/>
    <s v="A-M-0.5"/>
    <n v="1"/>
    <x v="795"/>
    <s v=""/>
    <x v="0"/>
    <x v="2"/>
    <s v="M"/>
    <x v="1"/>
    <n v="6.75"/>
    <n v="6.75"/>
    <s v="Arabica"/>
    <x v="0"/>
    <x v="0"/>
  </r>
  <r>
    <s v="PJC-31401-893"/>
    <x v="561"/>
    <s v="11212-69985-ZJ"/>
    <s v="A-D-0.5"/>
    <n v="3"/>
    <x v="796"/>
    <s v=""/>
    <x v="1"/>
    <x v="2"/>
    <s v="D"/>
    <x v="1"/>
    <n v="5.97"/>
    <n v="17.91"/>
    <s v="Arabica"/>
    <x v="2"/>
    <x v="1"/>
  </r>
  <r>
    <s v="HHO-79903-185"/>
    <x v="42"/>
    <s v="53893-01719-CL"/>
    <s v="A-L-2.5"/>
    <n v="1"/>
    <x v="797"/>
    <s v=""/>
    <x v="1"/>
    <x v="2"/>
    <s v="L"/>
    <x v="2"/>
    <n v="29.784999999999997"/>
    <n v="29.784999999999997"/>
    <s v="Arabica"/>
    <x v="1"/>
    <x v="0"/>
  </r>
  <r>
    <s v="YWM-07310-594"/>
    <x v="267"/>
    <s v="66028-99867-WJ"/>
    <s v="E-M-0.5"/>
    <n v="5"/>
    <x v="798"/>
    <s v=""/>
    <x v="0"/>
    <x v="1"/>
    <s v="M"/>
    <x v="1"/>
    <n v="8.25"/>
    <n v="41.25"/>
    <s v="Excelsa"/>
    <x v="0"/>
    <x v="0"/>
  </r>
  <r>
    <s v="FHD-94983-982"/>
    <x v="625"/>
    <s v="62839-56723-CH"/>
    <s v="R-M-0.5"/>
    <n v="3"/>
    <x v="799"/>
    <s v=""/>
    <x v="0"/>
    <x v="0"/>
    <s v="M"/>
    <x v="1"/>
    <n v="5.97"/>
    <n v="17.91"/>
    <s v="Robusta"/>
    <x v="0"/>
    <x v="0"/>
  </r>
  <r>
    <s v="WQK-10857-119"/>
    <x v="616"/>
    <s v="96849-52854-CR"/>
    <s v="E-D-0.5"/>
    <n v="1"/>
    <x v="800"/>
    <s v=""/>
    <x v="1"/>
    <x v="1"/>
    <s v="D"/>
    <x v="1"/>
    <n v="7.29"/>
    <n v="7.29"/>
    <s v="Excelsa"/>
    <x v="2"/>
    <x v="0"/>
  </r>
  <r>
    <s v="DXA-50313-073"/>
    <x v="626"/>
    <s v="19755-55847-VW"/>
    <s v="E-L-1"/>
    <n v="2"/>
    <x v="801"/>
    <s v=""/>
    <x v="2"/>
    <x v="1"/>
    <s v="L"/>
    <x v="0"/>
    <n v="14.85"/>
    <n v="29.7"/>
    <s v="Excelsa"/>
    <x v="1"/>
    <x v="0"/>
  </r>
  <r>
    <s v="ONW-00560-570"/>
    <x v="52"/>
    <s v="32900-82606-BO"/>
    <s v="A-M-1"/>
    <n v="2"/>
    <x v="802"/>
    <s v=""/>
    <x v="0"/>
    <x v="2"/>
    <s v="M"/>
    <x v="0"/>
    <n v="11.25"/>
    <n v="22.5"/>
    <s v="Arabica"/>
    <x v="0"/>
    <x v="1"/>
  </r>
  <r>
    <s v="BRJ-19414-277"/>
    <x v="622"/>
    <s v="16809-16936-WF"/>
    <s v="R-M-0.2"/>
    <n v="4"/>
    <x v="795"/>
    <s v=""/>
    <x v="0"/>
    <x v="0"/>
    <s v="M"/>
    <x v="3"/>
    <n v="2.9849999999999999"/>
    <n v="11.94"/>
    <s v="Robusta"/>
    <x v="0"/>
    <x v="0"/>
  </r>
  <r>
    <s v="MIQ-16322-908"/>
    <x v="627"/>
    <s v="20118-28138-QD"/>
    <s v="A-L-1"/>
    <n v="2"/>
    <x v="803"/>
    <s v=""/>
    <x v="0"/>
    <x v="2"/>
    <s v="L"/>
    <x v="0"/>
    <n v="12.95"/>
    <n v="25.9"/>
    <s v="Arabica"/>
    <x v="1"/>
    <x v="1"/>
  </r>
  <r>
    <s v="MVO-39328-830"/>
    <x v="628"/>
    <s v="84057-45461-AH"/>
    <s v="L-M-0.5"/>
    <n v="5"/>
    <x v="804"/>
    <s v=""/>
    <x v="1"/>
    <x v="3"/>
    <s v="M"/>
    <x v="1"/>
    <n v="8.73"/>
    <n v="43.650000000000006"/>
    <s v="Liberica"/>
    <x v="0"/>
    <x v="1"/>
  </r>
  <r>
    <s v="MVO-39328-830"/>
    <x v="628"/>
    <s v="84057-45461-AH"/>
    <s v="A-L-0.5"/>
    <n v="6"/>
    <x v="804"/>
    <s v=""/>
    <x v="1"/>
    <x v="2"/>
    <s v="L"/>
    <x v="1"/>
    <n v="7.77"/>
    <n v="46.62"/>
    <s v="Arabica"/>
    <x v="1"/>
    <x v="1"/>
  </r>
  <r>
    <s v="NTJ-88319-746"/>
    <x v="629"/>
    <s v="90882-88130-KQ"/>
    <s v="L-L-0.5"/>
    <n v="3"/>
    <x v="805"/>
    <s v=""/>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
    <x v="0"/>
    <x v="2"/>
    <s v="D"/>
    <x v="2"/>
    <n v="22.884999999999998"/>
    <n v="114.42499999999998"/>
    <s v="Arabica"/>
    <x v="2"/>
    <x v="0"/>
  </r>
  <r>
    <s v="BZP-33213-637"/>
    <x v="95"/>
    <s v="77175-09826-SF"/>
    <s v="A-M-2.5"/>
    <n v="3"/>
    <x v="811"/>
    <s v=""/>
    <x v="0"/>
    <x v="2"/>
    <s v="M"/>
    <x v="2"/>
    <n v="25.874999999999996"/>
    <n v="77.624999999999986"/>
    <s v="Arabica"/>
    <x v="0"/>
    <x v="0"/>
  </r>
  <r>
    <s v="WFH-21507-708"/>
    <x v="521"/>
    <s v="07237-32539-NB"/>
    <s v="R-D-0.5"/>
    <n v="1"/>
    <x v="812"/>
    <s v=""/>
    <x v="0"/>
    <x v="0"/>
    <s v="D"/>
    <x v="1"/>
    <n v="5.3699999999999992"/>
    <n v="5.3699999999999992"/>
    <s v="Robusta"/>
    <x v="2"/>
    <x v="0"/>
  </r>
  <r>
    <s v="HST-96923-073"/>
    <x v="76"/>
    <s v="54722-76431-EX"/>
    <s v="R-D-2.5"/>
    <n v="6"/>
    <x v="813"/>
    <s v=""/>
    <x v="1"/>
    <x v="0"/>
    <s v="D"/>
    <x v="2"/>
    <n v="20.584999999999997"/>
    <n v="123.50999999999999"/>
    <s v="Robusta"/>
    <x v="2"/>
    <x v="1"/>
  </r>
  <r>
    <s v="ENN-79947-323"/>
    <x v="634"/>
    <s v="67847-82662-TE"/>
    <s v="L-M-0.5"/>
    <n v="2"/>
    <x v="814"/>
    <s v=""/>
    <x v="0"/>
    <x v="3"/>
    <s v="M"/>
    <x v="1"/>
    <n v="8.73"/>
    <n v="17.46"/>
    <s v="Liberica"/>
    <x v="0"/>
    <x v="1"/>
  </r>
  <r>
    <s v="BHA-47429-889"/>
    <x v="635"/>
    <s v="51114-51191-EW"/>
    <s v="E-L-0.2"/>
    <n v="3"/>
    <x v="815"/>
    <s v=""/>
    <x v="0"/>
    <x v="1"/>
    <s v="L"/>
    <x v="3"/>
    <n v="4.4550000000000001"/>
    <n v="13.365"/>
    <s v="Excelsa"/>
    <x v="1"/>
    <x v="1"/>
  </r>
  <r>
    <s v="SZY-63017-318"/>
    <x v="636"/>
    <s v="91809-58808-TV"/>
    <s v="A-L-0.2"/>
    <n v="2"/>
    <x v="816"/>
    <s v=""/>
    <x v="0"/>
    <x v="2"/>
    <s v="L"/>
    <x v="3"/>
    <n v="3.8849999999999998"/>
    <n v="7.77"/>
    <s v="Arabica"/>
    <x v="1"/>
    <x v="0"/>
  </r>
  <r>
    <s v="LCU-93317-340"/>
    <x v="637"/>
    <s v="84996-26826-DK"/>
    <s v="R-D-0.2"/>
    <n v="1"/>
    <x v="817"/>
    <s v=""/>
    <x v="0"/>
    <x v="0"/>
    <s v="D"/>
    <x v="3"/>
    <n v="2.6849999999999996"/>
    <n v="2.6849999999999996"/>
    <s v="Robusta"/>
    <x v="2"/>
    <x v="0"/>
  </r>
  <r>
    <s v="UOM-71431-481"/>
    <x v="182"/>
    <s v="65732-22589-OW"/>
    <s v="R-D-2.5"/>
    <n v="1"/>
    <x v="810"/>
    <s v=""/>
    <x v="0"/>
    <x v="0"/>
    <s v="D"/>
    <x v="2"/>
    <n v="20.584999999999997"/>
    <n v="20.584999999999997"/>
    <s v="Robusta"/>
    <x v="2"/>
    <x v="0"/>
  </r>
  <r>
    <s v="PJH-42618-877"/>
    <x v="479"/>
    <s v="93676-95250-XJ"/>
    <s v="A-D-2.5"/>
    <n v="5"/>
    <x v="818"/>
    <s v=""/>
    <x v="0"/>
    <x v="2"/>
    <s v="D"/>
    <x v="2"/>
    <n v="22.884999999999998"/>
    <n v="114.42499999999998"/>
    <s v="Arabica"/>
    <x v="2"/>
    <x v="0"/>
  </r>
  <r>
    <s v="XED-90333-402"/>
    <x v="638"/>
    <s v="28300-14355-GF"/>
    <s v="E-M-0.2"/>
    <n v="5"/>
    <x v="819"/>
    <s v=""/>
    <x v="2"/>
    <x v="1"/>
    <s v="M"/>
    <x v="3"/>
    <n v="4.125"/>
    <n v="20.625"/>
    <s v="Excelsa"/>
    <x v="0"/>
    <x v="1"/>
  </r>
  <r>
    <s v="IKK-62234-199"/>
    <x v="639"/>
    <s v="91190-84826-IQ"/>
    <s v="L-L-0.5"/>
    <n v="6"/>
    <x v="820"/>
    <s v=""/>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
    <x v="0"/>
    <x v="0"/>
    <s v="D"/>
    <x v="1"/>
    <n v="5.3699999999999992"/>
    <n v="32.22"/>
    <s v="Robusta"/>
    <x v="2"/>
    <x v="0"/>
  </r>
  <r>
    <s v="AWP-11469-510"/>
    <x v="36"/>
    <s v="76730-63769-ND"/>
    <s v="E-D-1"/>
    <n v="2"/>
    <x v="824"/>
    <s v=""/>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
    <x v="0"/>
    <x v="0"/>
    <s v="L"/>
    <x v="3"/>
    <n v="3.5849999999999995"/>
    <n v="3.5849999999999995"/>
    <s v="Robusta"/>
    <x v="1"/>
    <x v="0"/>
  </r>
  <r>
    <s v="QOJ-38788-727"/>
    <x v="136"/>
    <s v="16358-63919-CE"/>
    <s v="E-M-2.5"/>
    <n v="5"/>
    <x v="828"/>
    <s v=""/>
    <x v="0"/>
    <x v="1"/>
    <s v="M"/>
    <x v="2"/>
    <n v="31.624999999999996"/>
    <n v="158.12499999999997"/>
    <s v="Excelsa"/>
    <x v="0"/>
    <x v="1"/>
  </r>
  <r>
    <s v="TGF-38649-658"/>
    <x v="645"/>
    <s v="67743-54817-UT"/>
    <s v="L-M-0.5"/>
    <n v="2"/>
    <x v="829"/>
    <s v=""/>
    <x v="0"/>
    <x v="3"/>
    <s v="M"/>
    <x v="1"/>
    <n v="8.73"/>
    <n v="17.46"/>
    <s v="Liberica"/>
    <x v="0"/>
    <x v="1"/>
  </r>
  <r>
    <s v="EAI-25194-209"/>
    <x v="646"/>
    <s v="44601-51441-BH"/>
    <s v="A-L-2.5"/>
    <n v="5"/>
    <x v="830"/>
    <s v=""/>
    <x v="0"/>
    <x v="2"/>
    <s v="L"/>
    <x v="2"/>
    <n v="29.784999999999997"/>
    <n v="148.92499999999998"/>
    <s v="Arabica"/>
    <x v="1"/>
    <x v="1"/>
  </r>
  <r>
    <s v="IJK-34441-720"/>
    <x v="647"/>
    <s v="97201-58870-WB"/>
    <s v="A-M-0.5"/>
    <n v="6"/>
    <x v="831"/>
    <s v=""/>
    <x v="0"/>
    <x v="2"/>
    <s v="M"/>
    <x v="1"/>
    <n v="6.75"/>
    <n v="40.5"/>
    <s v="Arabica"/>
    <x v="0"/>
    <x v="0"/>
  </r>
  <r>
    <s v="ZMC-00336-619"/>
    <x v="591"/>
    <s v="19849-12926-QF"/>
    <s v="A-M-0.5"/>
    <n v="4"/>
    <x v="832"/>
    <s v=""/>
    <x v="0"/>
    <x v="2"/>
    <s v="M"/>
    <x v="1"/>
    <n v="6.75"/>
    <n v="27"/>
    <s v="Arabica"/>
    <x v="0"/>
    <x v="0"/>
  </r>
  <r>
    <s v="UPX-54529-618"/>
    <x v="648"/>
    <s v="40535-56770-UM"/>
    <s v="L-D-1"/>
    <n v="3"/>
    <x v="833"/>
    <s v=""/>
    <x v="0"/>
    <x v="3"/>
    <s v="D"/>
    <x v="0"/>
    <n v="12.95"/>
    <n v="38.849999999999994"/>
    <s v="Liberica"/>
    <x v="2"/>
    <x v="1"/>
  </r>
  <r>
    <s v="DLX-01059-899"/>
    <x v="191"/>
    <s v="74940-09646-MU"/>
    <s v="R-L-1"/>
    <n v="5"/>
    <x v="834"/>
    <s v=""/>
    <x v="0"/>
    <x v="0"/>
    <s v="L"/>
    <x v="0"/>
    <n v="11.95"/>
    <n v="59.75"/>
    <s v="Robusta"/>
    <x v="1"/>
    <x v="1"/>
  </r>
  <r>
    <s v="MEK-85120-243"/>
    <x v="649"/>
    <s v="06623-54610-HC"/>
    <s v="R-L-0.2"/>
    <n v="3"/>
    <x v="835"/>
    <s v=""/>
    <x v="0"/>
    <x v="0"/>
    <s v="L"/>
    <x v="3"/>
    <n v="3.5849999999999995"/>
    <n v="10.754999999999999"/>
    <s v="Robusta"/>
    <x v="1"/>
    <x v="1"/>
  </r>
  <r>
    <s v="NFI-37188-246"/>
    <x v="553"/>
    <s v="89490-75361-AF"/>
    <s v="A-D-2.5"/>
    <n v="4"/>
    <x v="836"/>
    <s v=""/>
    <x v="0"/>
    <x v="2"/>
    <s v="D"/>
    <x v="2"/>
    <n v="22.884999999999998"/>
    <n v="91.539999999999992"/>
    <s v="Arabica"/>
    <x v="2"/>
    <x v="1"/>
  </r>
  <r>
    <s v="BXH-62195-013"/>
    <x v="584"/>
    <s v="94526-79230-GZ"/>
    <s v="A-M-1"/>
    <n v="4"/>
    <x v="837"/>
    <s v=""/>
    <x v="0"/>
    <x v="2"/>
    <s v="M"/>
    <x v="0"/>
    <n v="11.25"/>
    <n v="45"/>
    <s v="Arabica"/>
    <x v="0"/>
    <x v="0"/>
  </r>
  <r>
    <s v="YLK-78851-470"/>
    <x v="650"/>
    <s v="58559-08254-UY"/>
    <s v="R-M-2.5"/>
    <n v="6"/>
    <x v="838"/>
    <s v=""/>
    <x v="0"/>
    <x v="0"/>
    <s v="M"/>
    <x v="2"/>
    <n v="22.884999999999998"/>
    <n v="137.31"/>
    <s v="Robusta"/>
    <x v="0"/>
    <x v="0"/>
  </r>
  <r>
    <s v="DXY-76225-633"/>
    <x v="121"/>
    <s v="88574-37083-WX"/>
    <s v="A-M-0.5"/>
    <n v="1"/>
    <x v="839"/>
    <s v=""/>
    <x v="0"/>
    <x v="2"/>
    <s v="M"/>
    <x v="1"/>
    <n v="6.75"/>
    <n v="6.75"/>
    <s v="Arabica"/>
    <x v="0"/>
    <x v="1"/>
  </r>
  <r>
    <s v="UHP-24614-199"/>
    <x v="472"/>
    <s v="67953-79896-AC"/>
    <s v="A-M-1"/>
    <n v="4"/>
    <x v="840"/>
    <s v=""/>
    <x v="0"/>
    <x v="2"/>
    <s v="M"/>
    <x v="0"/>
    <n v="11.25"/>
    <n v="45"/>
    <s v="Arabica"/>
    <x v="0"/>
    <x v="1"/>
  </r>
  <r>
    <s v="HBY-35655-049"/>
    <x v="594"/>
    <s v="69207-93422-CQ"/>
    <s v="E-D-2.5"/>
    <n v="3"/>
    <x v="841"/>
    <s v=""/>
    <x v="0"/>
    <x v="1"/>
    <s v="D"/>
    <x v="2"/>
    <n v="27.945"/>
    <n v="83.835000000000008"/>
    <s v="Excelsa"/>
    <x v="2"/>
    <x v="0"/>
  </r>
  <r>
    <s v="DCE-22886-861"/>
    <x v="89"/>
    <s v="56060-17602-RG"/>
    <s v="E-D-0.2"/>
    <n v="1"/>
    <x v="842"/>
    <s v=""/>
    <x v="1"/>
    <x v="1"/>
    <s v="D"/>
    <x v="3"/>
    <n v="3.645"/>
    <n v="3.645"/>
    <s v="Excelsa"/>
    <x v="2"/>
    <x v="0"/>
  </r>
  <r>
    <s v="QTG-93823-843"/>
    <x v="651"/>
    <s v="46859-14212-FI"/>
    <s v="A-M-0.5"/>
    <n v="1"/>
    <x v="843"/>
    <s v=""/>
    <x v="2"/>
    <x v="2"/>
    <s v="M"/>
    <x v="1"/>
    <n v="6.75"/>
    <n v="6.75"/>
    <s v="Arabica"/>
    <x v="0"/>
    <x v="1"/>
  </r>
  <r>
    <s v="QTG-93823-843"/>
    <x v="651"/>
    <s v="46859-14212-FI"/>
    <s v="E-D-0.5"/>
    <n v="3"/>
    <x v="843"/>
    <s v=""/>
    <x v="2"/>
    <x v="1"/>
    <s v="D"/>
    <x v="1"/>
    <n v="7.29"/>
    <n v="21.87"/>
    <s v="Excelsa"/>
    <x v="2"/>
    <x v="1"/>
  </r>
  <r>
    <s v="WFT-16178-396"/>
    <x v="249"/>
    <s v="33555-01585-RP"/>
    <s v="R-D-0.2"/>
    <n v="5"/>
    <x v="844"/>
    <s v=""/>
    <x v="0"/>
    <x v="0"/>
    <s v="D"/>
    <x v="3"/>
    <n v="2.6849999999999996"/>
    <n v="13.424999999999997"/>
    <s v="Robusta"/>
    <x v="2"/>
    <x v="0"/>
  </r>
  <r>
    <s v="ERC-54560-934"/>
    <x v="652"/>
    <s v="11932-85629-CU"/>
    <s v="R-D-2.5"/>
    <n v="6"/>
    <x v="845"/>
    <s v=""/>
    <x v="0"/>
    <x v="0"/>
    <s v="D"/>
    <x v="2"/>
    <n v="20.584999999999997"/>
    <n v="123.50999999999999"/>
    <s v="Robusta"/>
    <x v="2"/>
    <x v="1"/>
  </r>
  <r>
    <s v="RUK-78200-416"/>
    <x v="653"/>
    <s v="36192-07175-XC"/>
    <s v="L-D-0.2"/>
    <n v="2"/>
    <x v="846"/>
    <s v=""/>
    <x v="0"/>
    <x v="3"/>
    <s v="D"/>
    <x v="3"/>
    <n v="3.8849999999999998"/>
    <n v="7.77"/>
    <s v="Liberica"/>
    <x v="2"/>
    <x v="1"/>
  </r>
  <r>
    <s v="KHK-13105-388"/>
    <x v="177"/>
    <s v="46242-54946-ZW"/>
    <s v="A-M-1"/>
    <n v="6"/>
    <x v="847"/>
    <s v=""/>
    <x v="0"/>
    <x v="2"/>
    <s v="M"/>
    <x v="0"/>
    <n v="11.25"/>
    <n v="67.5"/>
    <s v="Arabica"/>
    <x v="0"/>
    <x v="0"/>
  </r>
  <r>
    <s v="NJR-03699-189"/>
    <x v="22"/>
    <s v="95152-82155-VQ"/>
    <s v="E-D-2.5"/>
    <n v="1"/>
    <x v="848"/>
    <s v=""/>
    <x v="0"/>
    <x v="1"/>
    <s v="D"/>
    <x v="2"/>
    <n v="27.945"/>
    <n v="27.945"/>
    <s v="Excelsa"/>
    <x v="2"/>
    <x v="1"/>
  </r>
  <r>
    <s v="PJV-20427-019"/>
    <x v="508"/>
    <s v="13404-39127-WQ"/>
    <s v="A-L-2.5"/>
    <n v="3"/>
    <x v="849"/>
    <s v=""/>
    <x v="0"/>
    <x v="2"/>
    <s v="L"/>
    <x v="2"/>
    <n v="29.784999999999997"/>
    <n v="89.35499999999999"/>
    <s v="Arabica"/>
    <x v="1"/>
    <x v="1"/>
  </r>
  <r>
    <s v="UGK-07613-982"/>
    <x v="654"/>
    <s v="57808-90533-UE"/>
    <s v="A-M-0.5"/>
    <n v="3"/>
    <x v="822"/>
    <s v=""/>
    <x v="0"/>
    <x v="2"/>
    <s v="M"/>
    <x v="1"/>
    <n v="6.75"/>
    <n v="20.25"/>
    <s v="Arabica"/>
    <x v="0"/>
    <x v="1"/>
  </r>
  <r>
    <s v="OLA-68289-577"/>
    <x v="524"/>
    <s v="40226-52317-IO"/>
    <s v="A-M-0.5"/>
    <n v="5"/>
    <x v="850"/>
    <s v=""/>
    <x v="0"/>
    <x v="2"/>
    <s v="M"/>
    <x v="1"/>
    <n v="6.75"/>
    <n v="33.75"/>
    <s v="Arabica"/>
    <x v="0"/>
    <x v="0"/>
  </r>
  <r>
    <s v="TNR-84447-052"/>
    <x v="655"/>
    <s v="34419-18068-AG"/>
    <s v="E-D-2.5"/>
    <n v="4"/>
    <x v="851"/>
    <s v=""/>
    <x v="0"/>
    <x v="1"/>
    <s v="D"/>
    <x v="2"/>
    <n v="27.945"/>
    <n v="111.78"/>
    <s v="Excelsa"/>
    <x v="2"/>
    <x v="1"/>
  </r>
  <r>
    <s v="FBZ-64200-586"/>
    <x v="523"/>
    <s v="51738-61457-RS"/>
    <s v="E-M-2.5"/>
    <n v="2"/>
    <x v="852"/>
    <s v=""/>
    <x v="0"/>
    <x v="1"/>
    <s v="M"/>
    <x v="2"/>
    <n v="31.624999999999996"/>
    <n v="63.249999999999993"/>
    <s v="Excelsa"/>
    <x v="0"/>
    <x v="0"/>
  </r>
  <r>
    <s v="OBN-66334-505"/>
    <x v="656"/>
    <s v="86757-52367-ON"/>
    <s v="E-L-0.2"/>
    <n v="2"/>
    <x v="853"/>
    <s v=""/>
    <x v="0"/>
    <x v="1"/>
    <s v="L"/>
    <x v="3"/>
    <n v="4.4550000000000001"/>
    <n v="8.91"/>
    <s v="Excelsa"/>
    <x v="1"/>
    <x v="0"/>
  </r>
  <r>
    <s v="NXM-89323-646"/>
    <x v="657"/>
    <s v="28158-93383-CK"/>
    <s v="E-D-1"/>
    <n v="1"/>
    <x v="854"/>
    <s v=""/>
    <x v="0"/>
    <x v="1"/>
    <s v="D"/>
    <x v="0"/>
    <n v="12.15"/>
    <n v="12.15"/>
    <s v="Excelsa"/>
    <x v="2"/>
    <x v="0"/>
  </r>
  <r>
    <s v="NHI-23264-055"/>
    <x v="658"/>
    <s v="44799-09711-XW"/>
    <s v="A-D-0.5"/>
    <n v="4"/>
    <x v="855"/>
    <s v=""/>
    <x v="0"/>
    <x v="2"/>
    <s v="D"/>
    <x v="1"/>
    <n v="5.97"/>
    <n v="23.88"/>
    <s v="Arabica"/>
    <x v="2"/>
    <x v="0"/>
  </r>
  <r>
    <s v="EQH-53569-934"/>
    <x v="659"/>
    <s v="53667-91553-LT"/>
    <s v="E-M-1"/>
    <n v="4"/>
    <x v="856"/>
    <s v=""/>
    <x v="0"/>
    <x v="1"/>
    <s v="M"/>
    <x v="0"/>
    <n v="13.75"/>
    <n v="55"/>
    <s v="Excelsa"/>
    <x v="0"/>
    <x v="1"/>
  </r>
  <r>
    <s v="XKK-06692-189"/>
    <x v="558"/>
    <s v="86579-92122-OC"/>
    <s v="R-D-1"/>
    <n v="3"/>
    <x v="857"/>
    <s v=""/>
    <x v="0"/>
    <x v="0"/>
    <s v="D"/>
    <x v="0"/>
    <n v="8.9499999999999993"/>
    <n v="26.849999999999998"/>
    <s v="Robusta"/>
    <x v="2"/>
    <x v="0"/>
  </r>
  <r>
    <s v="BYP-16005-016"/>
    <x v="660"/>
    <s v="01474-63436-TP"/>
    <s v="R-M-2.5"/>
    <n v="5"/>
    <x v="858"/>
    <s v=""/>
    <x v="0"/>
    <x v="0"/>
    <s v="M"/>
    <x v="2"/>
    <n v="22.884999999999998"/>
    <n v="114.42499999999998"/>
    <s v="Robusta"/>
    <x v="0"/>
    <x v="1"/>
  </r>
  <r>
    <s v="LWS-13938-905"/>
    <x v="661"/>
    <s v="90533-82440-EE"/>
    <s v="A-M-2.5"/>
    <n v="6"/>
    <x v="859"/>
    <s v=""/>
    <x v="0"/>
    <x v="2"/>
    <s v="M"/>
    <x v="2"/>
    <n v="25.874999999999996"/>
    <n v="155.24999999999997"/>
    <s v="Arabica"/>
    <x v="0"/>
    <x v="0"/>
  </r>
  <r>
    <s v="OLH-95722-362"/>
    <x v="662"/>
    <s v="48553-69225-VX"/>
    <s v="L-D-0.5"/>
    <n v="3"/>
    <x v="860"/>
    <s v=""/>
    <x v="0"/>
    <x v="3"/>
    <s v="D"/>
    <x v="1"/>
    <n v="7.77"/>
    <n v="23.31"/>
    <s v="Liberica"/>
    <x v="2"/>
    <x v="0"/>
  </r>
  <r>
    <s v="OLH-95722-362"/>
    <x v="662"/>
    <s v="48553-69225-VX"/>
    <s v="R-M-2.5"/>
    <n v="4"/>
    <x v="860"/>
    <s v=""/>
    <x v="0"/>
    <x v="0"/>
    <s v="M"/>
    <x v="2"/>
    <n v="22.884999999999998"/>
    <n v="91.539999999999992"/>
    <s v="Robusta"/>
    <x v="0"/>
    <x v="0"/>
  </r>
  <r>
    <s v="KCW-50949-318"/>
    <x v="184"/>
    <s v="52374-27313-IV"/>
    <s v="E-L-1"/>
    <n v="5"/>
    <x v="861"/>
    <s v=""/>
    <x v="0"/>
    <x v="1"/>
    <s v="L"/>
    <x v="0"/>
    <n v="14.85"/>
    <n v="74.25"/>
    <s v="Excelsa"/>
    <x v="1"/>
    <x v="0"/>
  </r>
  <r>
    <s v="JGZ-16947-591"/>
    <x v="663"/>
    <s v="14264-41252-SL"/>
    <s v="L-L-0.2"/>
    <n v="6"/>
    <x v="862"/>
    <s v=""/>
    <x v="0"/>
    <x v="3"/>
    <s v="L"/>
    <x v="3"/>
    <n v="4.7549999999999999"/>
    <n v="28.53"/>
    <s v="Liberica"/>
    <x v="1"/>
    <x v="1"/>
  </r>
  <r>
    <s v="LXS-63326-144"/>
    <x v="334"/>
    <s v="35367-50483-AR"/>
    <s v="R-L-0.5"/>
    <n v="2"/>
    <x v="863"/>
    <s v=""/>
    <x v="0"/>
    <x v="0"/>
    <s v="L"/>
    <x v="1"/>
    <n v="7.169999999999999"/>
    <n v="14.339999999999998"/>
    <s v="Robusta"/>
    <x v="1"/>
    <x v="0"/>
  </r>
  <r>
    <s v="CZG-86544-655"/>
    <x v="664"/>
    <s v="69443-77665-QW"/>
    <s v="A-L-0.5"/>
    <n v="2"/>
    <x v="864"/>
    <s v=""/>
    <x v="1"/>
    <x v="2"/>
    <s v="L"/>
    <x v="1"/>
    <n v="7.77"/>
    <n v="15.54"/>
    <s v="Arabica"/>
    <x v="1"/>
    <x v="0"/>
  </r>
  <r>
    <s v="WFV-88138-247"/>
    <x v="24"/>
    <s v="63411-51758-QC"/>
    <s v="R-L-1"/>
    <n v="3"/>
    <x v="865"/>
    <s v=""/>
    <x v="0"/>
    <x v="0"/>
    <s v="L"/>
    <x v="0"/>
    <n v="11.95"/>
    <n v="35.849999999999994"/>
    <s v="Robusta"/>
    <x v="1"/>
    <x v="1"/>
  </r>
  <r>
    <s v="RFG-28227-288"/>
    <x v="12"/>
    <s v="68605-21835-UF"/>
    <s v="A-L-0.5"/>
    <n v="6"/>
    <x v="866"/>
    <s v=""/>
    <x v="0"/>
    <x v="2"/>
    <s v="L"/>
    <x v="1"/>
    <n v="7.77"/>
    <n v="46.62"/>
    <s v="Arabica"/>
    <x v="1"/>
    <x v="1"/>
  </r>
  <r>
    <s v="QAK-77286-758"/>
    <x v="105"/>
    <s v="34786-30419-XY"/>
    <s v="R-L-0.5"/>
    <n v="5"/>
    <x v="867"/>
    <s v=""/>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
    <x v="1"/>
    <x v="2"/>
    <s v="M"/>
    <x v="0"/>
    <n v="11.25"/>
    <n v="11.25"/>
    <s v="Arabica"/>
    <x v="0"/>
    <x v="1"/>
  </r>
  <r>
    <s v="ORX-57454-917"/>
    <x v="328"/>
    <s v="76209-39601-ZR"/>
    <s v="E-D-2.5"/>
    <n v="3"/>
    <x v="871"/>
    <s v=""/>
    <x v="2"/>
    <x v="1"/>
    <s v="D"/>
    <x v="2"/>
    <n v="27.945"/>
    <n v="83.835000000000008"/>
    <s v="Excelsa"/>
    <x v="2"/>
    <x v="0"/>
  </r>
  <r>
    <s v="GRB-68838-629"/>
    <x v="648"/>
    <s v="15064-65241-HB"/>
    <s v="R-L-2.5"/>
    <n v="4"/>
    <x v="872"/>
    <s v=""/>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
    <x v="0"/>
    <x v="0"/>
    <s v="L"/>
    <x v="3"/>
    <n v="3.5849999999999995"/>
    <n v="21.509999999999998"/>
    <s v="Robusta"/>
    <x v="1"/>
    <x v="1"/>
  </r>
  <r>
    <s v="OIB-13664-879"/>
    <x v="114"/>
    <s v="04713-57765-KR"/>
    <s v="A-M-1"/>
    <n v="2"/>
    <x v="875"/>
    <s v=""/>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
    <x v="0"/>
    <x v="3"/>
    <s v="L"/>
    <x v="3"/>
    <n v="4.7549999999999999"/>
    <n v="23.774999999999999"/>
    <s v="Liberica"/>
    <x v="1"/>
    <x v="0"/>
  </r>
  <r>
    <s v="KJB-98240-098"/>
    <x v="422"/>
    <s v="77746-08153-PM"/>
    <s v="L-L-1"/>
    <n v="5"/>
    <x v="877"/>
    <s v=""/>
    <x v="0"/>
    <x v="3"/>
    <s v="L"/>
    <x v="0"/>
    <n v="15.85"/>
    <n v="79.25"/>
    <s v="Liberica"/>
    <x v="1"/>
    <x v="0"/>
  </r>
  <r>
    <s v="JMS-48374-462"/>
    <x v="669"/>
    <s v="49667-96708-JL"/>
    <s v="A-D-2.5"/>
    <n v="2"/>
    <x v="878"/>
    <s v=""/>
    <x v="0"/>
    <x v="2"/>
    <s v="D"/>
    <x v="2"/>
    <n v="22.884999999999998"/>
    <n v="45.769999999999996"/>
    <s v="Arabica"/>
    <x v="2"/>
    <x v="0"/>
  </r>
  <r>
    <s v="YIT-15877-117"/>
    <x v="670"/>
    <s v="24155-79322-EQ"/>
    <s v="R-D-1"/>
    <n v="1"/>
    <x v="879"/>
    <s v=""/>
    <x v="1"/>
    <x v="0"/>
    <s v="D"/>
    <x v="0"/>
    <n v="8.9499999999999993"/>
    <n v="8.9499999999999993"/>
    <s v="Robusta"/>
    <x v="2"/>
    <x v="0"/>
  </r>
  <r>
    <s v="YVK-82679-655"/>
    <x v="341"/>
    <s v="95342-88311-SF"/>
    <s v="R-M-0.5"/>
    <n v="4"/>
    <x v="880"/>
    <s v=""/>
    <x v="0"/>
    <x v="0"/>
    <s v="M"/>
    <x v="1"/>
    <n v="5.97"/>
    <n v="23.88"/>
    <s v="Robusta"/>
    <x v="0"/>
    <x v="0"/>
  </r>
  <r>
    <s v="TYH-81940-054"/>
    <x v="671"/>
    <s v="69374-08133-RI"/>
    <s v="E-L-0.2"/>
    <n v="5"/>
    <x v="881"/>
    <s v=""/>
    <x v="0"/>
    <x v="1"/>
    <s v="L"/>
    <x v="3"/>
    <n v="4.4550000000000001"/>
    <n v="22.274999999999999"/>
    <s v="Excelsa"/>
    <x v="1"/>
    <x v="1"/>
  </r>
  <r>
    <s v="HTY-30660-254"/>
    <x v="672"/>
    <s v="83844-95908-RX"/>
    <s v="R-M-1"/>
    <n v="3"/>
    <x v="882"/>
    <s v=""/>
    <x v="0"/>
    <x v="0"/>
    <s v="M"/>
    <x v="0"/>
    <n v="9.9499999999999993"/>
    <n v="29.849999999999998"/>
    <s v="Robusta"/>
    <x v="0"/>
    <x v="0"/>
  </r>
  <r>
    <s v="GPW-43956-761"/>
    <x v="673"/>
    <s v="09667-09231-YM"/>
    <s v="E-L-0.5"/>
    <n v="6"/>
    <x v="883"/>
    <s v=""/>
    <x v="0"/>
    <x v="1"/>
    <s v="L"/>
    <x v="1"/>
    <n v="8.91"/>
    <n v="53.46"/>
    <s v="Excelsa"/>
    <x v="1"/>
    <x v="0"/>
  </r>
  <r>
    <s v="DWY-56352-412"/>
    <x v="674"/>
    <s v="55427-08059-DF"/>
    <s v="R-D-0.2"/>
    <n v="1"/>
    <x v="884"/>
    <s v=""/>
    <x v="1"/>
    <x v="0"/>
    <s v="D"/>
    <x v="3"/>
    <n v="2.6849999999999996"/>
    <n v="2.6849999999999996"/>
    <s v="Robusta"/>
    <x v="2"/>
    <x v="0"/>
  </r>
  <r>
    <s v="PUH-55647-976"/>
    <x v="675"/>
    <s v="06624-54037-BQ"/>
    <s v="R-M-0.2"/>
    <n v="2"/>
    <x v="885"/>
    <s v=""/>
    <x v="0"/>
    <x v="0"/>
    <s v="M"/>
    <x v="3"/>
    <n v="2.9849999999999999"/>
    <n v="5.97"/>
    <s v="Robusta"/>
    <x v="0"/>
    <x v="1"/>
  </r>
  <r>
    <s v="DTB-71371-705"/>
    <x v="539"/>
    <s v="48544-90737-AZ"/>
    <s v="L-D-1"/>
    <n v="1"/>
    <x v="886"/>
    <s v=""/>
    <x v="0"/>
    <x v="3"/>
    <s v="D"/>
    <x v="0"/>
    <n v="12.95"/>
    <n v="12.95"/>
    <s v="Liberica"/>
    <x v="2"/>
    <x v="0"/>
  </r>
  <r>
    <s v="ZDC-64769-740"/>
    <x v="676"/>
    <s v="79463-01597-FQ"/>
    <s v="E-M-0.5"/>
    <n v="1"/>
    <x v="887"/>
    <s v=""/>
    <x v="0"/>
    <x v="1"/>
    <s v="M"/>
    <x v="1"/>
    <n v="8.25"/>
    <n v="8.25"/>
    <s v="Excelsa"/>
    <x v="0"/>
    <x v="1"/>
  </r>
  <r>
    <s v="TED-81959-419"/>
    <x v="677"/>
    <s v="27702-50024-XC"/>
    <s v="A-L-2.5"/>
    <n v="5"/>
    <x v="888"/>
    <s v=""/>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
    <x v="0"/>
    <x v="3"/>
    <s v="M"/>
    <x v="0"/>
    <n v="14.55"/>
    <n v="87.300000000000011"/>
    <s v="Liberica"/>
    <x v="0"/>
    <x v="1"/>
  </r>
  <r>
    <s v="POF-29666-012"/>
    <x v="102"/>
    <s v="46885-00260-TL"/>
    <s v="R-D-0.5"/>
    <n v="1"/>
    <x v="891"/>
    <s v=""/>
    <x v="0"/>
    <x v="0"/>
    <s v="D"/>
    <x v="1"/>
    <n v="5.3699999999999992"/>
    <n v="5.3699999999999992"/>
    <s v="Robusta"/>
    <x v="2"/>
    <x v="0"/>
  </r>
  <r>
    <s v="IRX-59256-644"/>
    <x v="678"/>
    <s v="96446-62142-EN"/>
    <s v="A-D-0.2"/>
    <n v="3"/>
    <x v="892"/>
    <s v=""/>
    <x v="1"/>
    <x v="2"/>
    <s v="D"/>
    <x v="3"/>
    <n v="2.9849999999999999"/>
    <n v="8.9550000000000001"/>
    <s v="Arabica"/>
    <x v="2"/>
    <x v="0"/>
  </r>
  <r>
    <s v="LTN-89139-350"/>
    <x v="679"/>
    <s v="07756-71018-GU"/>
    <s v="R-L-2.5"/>
    <n v="5"/>
    <x v="893"/>
    <s v=""/>
    <x v="0"/>
    <x v="0"/>
    <s v="L"/>
    <x v="2"/>
    <n v="27.484999999999996"/>
    <n v="137.42499999999998"/>
    <s v="Robusta"/>
    <x v="1"/>
    <x v="0"/>
  </r>
  <r>
    <s v="TXF-79780-017"/>
    <x v="112"/>
    <s v="92048-47813-QB"/>
    <s v="R-L-1"/>
    <n v="5"/>
    <x v="894"/>
    <s v=""/>
    <x v="0"/>
    <x v="0"/>
    <s v="L"/>
    <x v="0"/>
    <n v="11.95"/>
    <n v="59.75"/>
    <s v="Robusta"/>
    <x v="1"/>
    <x v="1"/>
  </r>
  <r>
    <s v="ALM-80762-974"/>
    <x v="55"/>
    <s v="84045-66771-SL"/>
    <s v="A-L-0.5"/>
    <n v="3"/>
    <x v="890"/>
    <s v=""/>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
    <x v="0"/>
    <x v="1"/>
    <s v="D"/>
    <x v="3"/>
    <n v="3.645"/>
    <n v="21.87"/>
    <s v="Excelsa"/>
    <x v="2"/>
    <x v="0"/>
  </r>
  <r>
    <s v="SNZ-44595-152"/>
    <x v="681"/>
    <s v="06136-65250-PG"/>
    <s v="R-L-1"/>
    <n v="2"/>
    <x v="898"/>
    <s v=""/>
    <x v="0"/>
    <x v="0"/>
    <s v="L"/>
    <x v="0"/>
    <n v="11.95"/>
    <n v="23.9"/>
    <s v="Robusta"/>
    <x v="1"/>
    <x v="0"/>
  </r>
  <r>
    <s v="GQA-37241-629"/>
    <x v="502"/>
    <s v="08405-33165-BS"/>
    <s v="A-M-0.2"/>
    <n v="2"/>
    <x v="899"/>
    <s v=""/>
    <x v="0"/>
    <x v="2"/>
    <s v="M"/>
    <x v="3"/>
    <n v="3.375"/>
    <n v="6.75"/>
    <s v="Arabica"/>
    <x v="0"/>
    <x v="0"/>
  </r>
  <r>
    <s v="WVV-79948-067"/>
    <x v="682"/>
    <s v="66070-30559-WI"/>
    <s v="E-M-2.5"/>
    <n v="1"/>
    <x v="900"/>
    <s v=""/>
    <x v="1"/>
    <x v="1"/>
    <s v="M"/>
    <x v="2"/>
    <n v="31.624999999999996"/>
    <n v="31.624999999999996"/>
    <s v="Excelsa"/>
    <x v="0"/>
    <x v="0"/>
  </r>
  <r>
    <s v="LHX-81117-166"/>
    <x v="683"/>
    <s v="01282-28364-RZ"/>
    <s v="R-L-1"/>
    <n v="4"/>
    <x v="901"/>
    <s v=""/>
    <x v="0"/>
    <x v="0"/>
    <s v="L"/>
    <x v="0"/>
    <n v="11.95"/>
    <n v="47.8"/>
    <s v="Robusta"/>
    <x v="1"/>
    <x v="1"/>
  </r>
  <r>
    <s v="GCD-75444-320"/>
    <x v="594"/>
    <s v="51277-93873-RP"/>
    <s v="L-M-2.5"/>
    <n v="1"/>
    <x v="902"/>
    <s v=""/>
    <x v="0"/>
    <x v="3"/>
    <s v="M"/>
    <x v="2"/>
    <n v="33.464999999999996"/>
    <n v="33.464999999999996"/>
    <s v="Liberica"/>
    <x v="0"/>
    <x v="1"/>
  </r>
  <r>
    <s v="SGA-30059-217"/>
    <x v="389"/>
    <s v="84405-83364-DG"/>
    <s v="A-D-0.5"/>
    <n v="5"/>
    <x v="903"/>
    <s v=""/>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0F95F9-77DA-459A-9C00-6E2758B23319}" name="PivotTable3" cacheId="1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37"/>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8" format="8" series="1">
      <pivotArea type="data" outline="0" fieldPosition="0">
        <references count="2">
          <reference field="4294967294" count="1" selected="0">
            <x v="0"/>
          </reference>
          <reference field="8" count="1" selected="0">
            <x v="0"/>
          </reference>
        </references>
      </pivotArea>
    </chartFormat>
    <chartFormat chart="8" format="9" series="1">
      <pivotArea type="data" outline="0" fieldPosition="0">
        <references count="2">
          <reference field="4294967294" count="1" selected="0">
            <x v="0"/>
          </reference>
          <reference field="8" count="1" selected="0">
            <x v="1"/>
          </reference>
        </references>
      </pivotArea>
    </chartFormat>
    <chartFormat chart="8" format="10" series="1">
      <pivotArea type="data" outline="0" fieldPosition="0">
        <references count="2">
          <reference field="4294967294" count="1" selected="0">
            <x v="0"/>
          </reference>
          <reference field="8" count="1" selected="0">
            <x v="2"/>
          </reference>
        </references>
      </pivotArea>
    </chartFormat>
    <chartFormat chart="8"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193CB9-6278-49D2-9BE7-2B6171129E6B}" name="PivotTable3" cacheId="12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h="1" x="1"/>
        <item h="1" x="0"/>
        <item h="1"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h="1"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1" numFmtId="37"/>
  </dataFields>
  <chartFormats count="8">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2"/>
          </reference>
        </references>
      </pivotArea>
    </chartFormat>
    <chartFormat chart="22" format="3">
      <pivotArea type="data" outline="0" fieldPosition="0">
        <references count="2">
          <reference field="4294967294" count="1" selected="0">
            <x v="0"/>
          </reference>
          <reference field="7"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7" count="1" selected="0">
            <x v="1"/>
          </reference>
        </references>
      </pivotArea>
    </chartFormat>
    <chartFormat chart="26" format="10">
      <pivotArea type="data" outline="0" fieldPosition="0">
        <references count="2">
          <reference field="4294967294" count="1" selected="0">
            <x v="0"/>
          </reference>
          <reference field="7" count="1" selected="0">
            <x v="0"/>
          </reference>
        </references>
      </pivotArea>
    </chartFormat>
    <chartFormat chart="2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048639-31DE-44A9-8B4C-C62F5A84488D}" name="PivotTable3" cacheId="12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h="1" x="1"/>
        <item h="1" x="0"/>
        <item h="1"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h="1"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8"/>
    </i>
    <i>
      <x v="125"/>
    </i>
    <i>
      <x v="255"/>
    </i>
    <i>
      <x v="646"/>
    </i>
    <i>
      <x v="831"/>
    </i>
  </rowItems>
  <colItems count="1">
    <i/>
  </colItems>
  <dataFields count="1">
    <dataField name="Sum of Sales" fld="12" baseField="15" baseItem="1" numFmtId="37"/>
  </dataFields>
  <chartFormats count="5">
    <chartFormat chart="7" format="8"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72A2D74-1012-4718-93A8-7DEFC7DA3F78}" sourceName="Size">
  <pivotTables>
    <pivotTable tabId="18" name="PivotTable3"/>
  </pivotTables>
  <data>
    <tabular pivotCacheId="116727005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969C780-7565-4258-855B-7BD35927377A}" sourceName="Roast Type Name">
  <pivotTables>
    <pivotTable tabId="18" name="PivotTable3"/>
  </pivotTables>
  <data>
    <tabular pivotCacheId="116727005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03F54E6-C71D-4396-AD9D-4650BF2B9B78}" sourceName="Loyalty Card">
  <pivotTables>
    <pivotTable tabId="18" name="PivotTable3"/>
  </pivotTables>
  <data>
    <tabular pivotCacheId="11672700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FDFBBFA-03BE-406F-87C7-3F0555183C2A}" cache="Slicer_Size" caption="Size" columnCount="2" style="Slicer Style 1" rowHeight="234950"/>
  <slicer name="Roast Type Name" xr10:uid="{A9D2F0B2-E64F-4A6C-AB78-EA181CA0F0AE}" cache="Slicer_Roast_Type_Name" caption="Roast Type Name" columnCount="3" style="Slicer Style 1" rowHeight="234950"/>
  <slicer name="Loyalty Card" xr10:uid="{5123D9D4-E879-4DA5-A73B-F3DD03C1FD75}" cache="Slicer_Loyalty_Card" caption="Loyalty Card"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B9F7E420-D8BF-441A-8E33-AB629249A5A3}" cache="Slicer_Size" caption="Size" columnCount="2" style="Slicer Style 1" rowHeight="234950"/>
  <slicer name="Roast Type Name 1" xr10:uid="{55175089-2667-48F8-B93D-03E9C25ABB56}" cache="Slicer_Roast_Type_Name" caption="Roast Type Name" columnCount="3" style="Slicer Style 1" rowHeight="234950"/>
  <slicer name="Loyalty Card 1" xr10:uid="{F974A2FE-B1A2-47E2-BD7C-4FAB3809A04C}"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3B86D5-BDEC-4FDA-A87C-C5CF0A425D04}" name="Table1" displayName="Table1" ref="A1:P1001" totalsRowShown="0" headerRowDxfId="5">
  <autoFilter ref="A1:P1001" xr:uid="{4A3B86D5-BDEC-4FDA-A87C-C5CF0A425D04}"/>
  <tableColumns count="16">
    <tableColumn id="1" xr3:uid="{B7420642-7576-4F02-8F31-139EACF19CF3}" name="Order ID" dataDxfId="15"/>
    <tableColumn id="2" xr3:uid="{C08B35DB-5C9B-494D-9397-9CA4F2C0E219}" name="Order Date" dataDxfId="14"/>
    <tableColumn id="3" xr3:uid="{1B5F87B7-1632-4B0F-A2A0-9F044FF94BE8}" name="Customer ID" dataDxfId="13"/>
    <tableColumn id="4" xr3:uid="{3C81187E-A0A8-4F1B-90EC-7D9AB42A0B38}" name="Product ID"/>
    <tableColumn id="5" xr3:uid="{3B7DDCD2-D53D-4A44-9C56-873894FAB200}" name="Quantity" dataDxfId="12"/>
    <tableColumn id="6" xr3:uid="{9961AC45-088B-414A-BE48-8CFEC42D1DBF}" name="Customer Name" dataDxfId="11">
      <calculatedColumnFormula>_xlfn.XLOOKUP(C2,customers!$A$1:$A$1001,customers!$B$1:$B$1001,,0)</calculatedColumnFormula>
    </tableColumn>
    <tableColumn id="7" xr3:uid="{377439A3-D7D9-4B46-BB11-B264345DB015}" name="Email" dataDxfId="10">
      <calculatedColumnFormula>IF(_xlfn.XLOOKUP(C2,customers!$A$1:$A$1001,customers!C1:C1001,,0)=0,"",_xlfn.XLOOKUP(C2,customers!$A$1:$A$1001,customers!C1:C1001,,0))</calculatedColumnFormula>
    </tableColumn>
    <tableColumn id="8" xr3:uid="{1D9AA606-7A84-4558-940D-BCA48740F608}" name="Country" dataDxfId="9">
      <calculatedColumnFormula>_xlfn.XLOOKUP(orders!C2,customers!$A$1:$A$1001,customers!$G$1:$G$1001,,0)</calculatedColumnFormula>
    </tableColumn>
    <tableColumn id="9" xr3:uid="{B30B924B-E18F-4375-9798-DBE63E2FAE80}" name="Coffee Type">
      <calculatedColumnFormula>INDEX(products!$A$1:$G$49,MATCH(orders!$D2, products!$A$1:$A$49,0), MATCH(orders!I$1,products!$A$1:$G$1,0))</calculatedColumnFormula>
    </tableColumn>
    <tableColumn id="10" xr3:uid="{88F1C138-FDD7-47CC-8976-067D96900BF6}" name="Roast Type">
      <calculatedColumnFormula>INDEX(products!$A$1:$G$49,MATCH(orders!$D2, products!$A$1:$A$49,0), MATCH(orders!J$1,products!$A$1:$G$1,0))</calculatedColumnFormula>
    </tableColumn>
    <tableColumn id="11" xr3:uid="{32893845-43AE-4F98-8976-A3DFBBF1C601}" name="Size" dataDxfId="8">
      <calculatedColumnFormula>INDEX(products!$A$1:$G$49,MATCH(orders!$D2, products!$A$1:$A$49,0), MATCH(orders!K$1,products!$A$1:$G$1,0))</calculatedColumnFormula>
    </tableColumn>
    <tableColumn id="12" xr3:uid="{B0180116-6F4A-40D5-B102-D76B18F9482B}" name="Unit Price" dataDxfId="7" dataCellStyle="Currency">
      <calculatedColumnFormula>INDEX(products!$A$1:$G$49,MATCH(orders!$D2, products!$A$1:$A$49,0), MATCH(orders!L$1,products!$A$1:$G$1,0))</calculatedColumnFormula>
    </tableColumn>
    <tableColumn id="13" xr3:uid="{812CDBC5-8285-423F-826C-3F089A86B4A4}" name="Sales" dataDxfId="6" dataCellStyle="Currency">
      <calculatedColumnFormula>L2*E2</calculatedColumnFormula>
    </tableColumn>
    <tableColumn id="14" xr3:uid="{BDBC870A-1A6F-4173-86D7-121DD64CFD26}" name="Coffee Type Name">
      <calculatedColumnFormula>IF(I2="Rob","Robusta",IF(I2="Exc", "Excelsa", IF(I2="Ara","Arabica", IF(I2="lib","Liberica",""))))</calculatedColumnFormula>
    </tableColumn>
    <tableColumn id="15" xr3:uid="{A5FCF4F1-010D-43AB-8A40-6D3299876EE8}" name="Roast Type Name">
      <calculatedColumnFormula>IF(J2="M","Medium",IF(J2="L","Light",IF(J2="D","Dark", "")))</calculatedColumnFormula>
    </tableColumn>
    <tableColumn id="16" xr3:uid="{89F92D0B-0ED0-43D3-874F-79FBFEB9202F}" name="Loyalty Card" dataDxfId="4">
      <calculatedColumnFormula>_xlfn.XLOOKUP(Table1[[#This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E200A83-F629-4E75-BC53-4423037D1C10}" sourceName="Order Date">
  <pivotTables>
    <pivotTable tabId="18" name="PivotTable3"/>
  </pivotTables>
  <state minimalRefreshVersion="6" lastRefreshVersion="6" pivotCacheId="116727005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BC16B2E-BB76-4EA2-ACA8-B4755C0F59DD}" cache="NativeTimeline_Order_Date" caption="Order Date" level="2" selectionLevel="3" scrollPosition="2019-01-01T00:00:00" style="Blu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5C3C848-A1F5-407C-8F1D-DF826EB12249}" cache="NativeTimeline_Order_Date" caption="Order Date" level="2" selectionLevel="3" scrollPosition="2020-10-15T00:00:00" style="Blue Timelin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113C8-1C36-479D-8442-E48B47217281}">
  <dimension ref="A3:F48"/>
  <sheetViews>
    <sheetView topLeftCell="E1" workbookViewId="0">
      <selection activeCell="T14" sqref="T14"/>
    </sheetView>
  </sheetViews>
  <sheetFormatPr defaultRowHeight="14.4" x14ac:dyDescent="0.3"/>
  <cols>
    <col min="1" max="1" width="12.5546875" bestFit="1" customWidth="1"/>
    <col min="2" max="2" width="20.88671875" bestFit="1" customWidth="1"/>
    <col min="3" max="3" width="13.33203125" bestFit="1" customWidth="1"/>
    <col min="4" max="6" width="4.5546875" bestFit="1" customWidth="1"/>
    <col min="7" max="7" width="11.44140625" bestFit="1" customWidth="1"/>
  </cols>
  <sheetData>
    <row r="3" spans="1:6" x14ac:dyDescent="0.3">
      <c r="A3" s="6" t="s">
        <v>6214</v>
      </c>
      <c r="C3" s="6" t="s">
        <v>9</v>
      </c>
    </row>
    <row r="4" spans="1:6" x14ac:dyDescent="0.3">
      <c r="A4" s="6" t="s">
        <v>6215</v>
      </c>
      <c r="B4" s="6" t="s">
        <v>6216</v>
      </c>
      <c r="C4" t="s">
        <v>6193</v>
      </c>
      <c r="D4" t="s">
        <v>6194</v>
      </c>
      <c r="E4" t="s">
        <v>6195</v>
      </c>
      <c r="F4" t="s">
        <v>6192</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CCBCB-FB20-4AF7-89B5-BAB939F13E83}">
  <dimension ref="A3:B6"/>
  <sheetViews>
    <sheetView zoomScale="85" zoomScaleNormal="85" workbookViewId="0">
      <selection activeCell="I29" sqref="I29"/>
    </sheetView>
  </sheetViews>
  <sheetFormatPr defaultRowHeight="14.4" x14ac:dyDescent="0.3"/>
  <cols>
    <col min="1" max="1" width="14.44140625" bestFit="1" customWidth="1"/>
    <col min="2" max="2" width="12.109375" bestFit="1" customWidth="1"/>
    <col min="3" max="4" width="7.33203125" bestFit="1" customWidth="1"/>
    <col min="5" max="5" width="6.21875" bestFit="1" customWidth="1"/>
    <col min="6" max="6" width="4.6640625" bestFit="1" customWidth="1"/>
    <col min="7" max="7" width="11.44140625" bestFit="1" customWidth="1"/>
  </cols>
  <sheetData>
    <row r="3" spans="1:2" x14ac:dyDescent="0.3">
      <c r="A3" s="6" t="s">
        <v>7</v>
      </c>
      <c r="B3" t="s">
        <v>6214</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A565B-4346-4607-AFE6-FC17B617F474}">
  <dimension ref="A3:B8"/>
  <sheetViews>
    <sheetView zoomScale="85" zoomScaleNormal="85" workbookViewId="0">
      <selection activeCell="N24" sqref="N24"/>
    </sheetView>
  </sheetViews>
  <sheetFormatPr defaultRowHeight="14.4" x14ac:dyDescent="0.3"/>
  <cols>
    <col min="1" max="1" width="17.88671875" bestFit="1" customWidth="1"/>
    <col min="2" max="2" width="12.109375" bestFit="1" customWidth="1"/>
    <col min="3" max="4" width="7.33203125" bestFit="1" customWidth="1"/>
    <col min="5" max="5" width="6.21875" bestFit="1" customWidth="1"/>
    <col min="6" max="6" width="4.6640625" bestFit="1" customWidth="1"/>
    <col min="7" max="7" width="11.44140625" bestFit="1" customWidth="1"/>
  </cols>
  <sheetData>
    <row r="3" spans="1:2" x14ac:dyDescent="0.3">
      <c r="A3" s="6" t="s">
        <v>4</v>
      </c>
      <c r="B3" t="s">
        <v>6214</v>
      </c>
    </row>
    <row r="4" spans="1:2" x14ac:dyDescent="0.3">
      <c r="A4" t="s">
        <v>5114</v>
      </c>
      <c r="B4" s="7">
        <v>317.06999999999994</v>
      </c>
    </row>
    <row r="5" spans="1:2" x14ac:dyDescent="0.3">
      <c r="A5" t="s">
        <v>5765</v>
      </c>
      <c r="B5" s="7">
        <v>307.04499999999996</v>
      </c>
    </row>
    <row r="6" spans="1:2" x14ac:dyDescent="0.3">
      <c r="A6" t="s">
        <v>3753</v>
      </c>
      <c r="B6" s="7">
        <v>278.01</v>
      </c>
    </row>
    <row r="7" spans="1:2" x14ac:dyDescent="0.3">
      <c r="A7" t="s">
        <v>1598</v>
      </c>
      <c r="B7" s="7">
        <v>281.67499999999995</v>
      </c>
    </row>
    <row r="8" spans="1:2" x14ac:dyDescent="0.3">
      <c r="A8" t="s">
        <v>2587</v>
      </c>
      <c r="B8" s="7">
        <v>289.11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36144-F085-425F-AD37-24D7D1675DCE}">
  <dimension ref="A1"/>
  <sheetViews>
    <sheetView tabSelected="1" zoomScale="55" zoomScaleNormal="55" workbookViewId="0">
      <selection activeCell="AE19" sqref="AE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Normal="100" workbookViewId="0">
      <selection activeCell="P4" sqref="P4"/>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6.44140625" bestFit="1" customWidth="1"/>
    <col min="12" max="12" width="10.77734375" customWidth="1"/>
    <col min="13" max="13" width="8.886718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_xlfn.XLOOKUP(orders!C2,customers!$A$1:$A$1001,customers!$G$1:$G$1001,,0)</f>
        <v>United States</v>
      </c>
      <c r="I2" t="str">
        <f>INDEX(products!$A$1:$G$49,MATCH(orders!$D2, products!$A$1:$A$49,0), MATCH(orders!I$1,products!$A$1:$G$1,0))</f>
        <v>Rob</v>
      </c>
      <c r="J2" t="str">
        <f>INDEX(products!$A$1:$G$49,MATCH(orders!$D2, products!$A$1:$A$49,0), MATCH(orders!J$1,products!$A$1:$G$1,0))</f>
        <v>M</v>
      </c>
      <c r="K2" s="4">
        <f>INDEX(products!$A$1:$G$49,MATCH(orders!$D2, products!$A$1:$A$49,0), MATCH(orders!K$1,products!$A$1:$G$1,0))</f>
        <v>1</v>
      </c>
      <c r="L2" s="5">
        <f>INDEX(products!$A$1:$G$49,MATCH(orders!$D2, products!$A$1:$A$49,0), MATCH(orders!L$1,products!$A$1:$G$1,0))</f>
        <v>9.9499999999999993</v>
      </c>
      <c r="M2" s="5">
        <f>L2*E2</f>
        <v>19.899999999999999</v>
      </c>
      <c r="N2" t="str">
        <f>IF(I2="Rob","Robusta",IF(I2="Exc", "Excelsa", IF(I2="Ara","Arabica", IF(I2="lib","Liberica",""))))</f>
        <v>Robusta</v>
      </c>
      <c r="O2" t="str">
        <f>IF(J2="M","Medium",IF(J2="L","Light",IF(J2="D","Dark", "")))</f>
        <v>Medium</v>
      </c>
      <c r="P2" t="str">
        <f>_xlfn.XLOOKUP(Table1[[#This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IF(_xlfn.XLOOKUP(C3,customers!$A$1:$A$1001,customers!C2:C1002,,0)=0,"",_xlfn.XLOOKUP(C3,customers!$A$1:$A$1001,customers!C2:C1002,,0))</f>
        <v>pbote1@yelp.com</v>
      </c>
      <c r="H3" s="2" t="str">
        <f>_xlfn.XLOOKUP(orders!C3,customers!$A$1:$A$1001,customers!$G$1:$G$1001,,0)</f>
        <v>United States</v>
      </c>
      <c r="I3" t="str">
        <f>INDEX(products!$A$1:$G$49,MATCH(orders!$D3, products!$A$1:$A$49,0), MATCH(orders!I$1,products!$A$1:$G$1,0))</f>
        <v>Exc</v>
      </c>
      <c r="J3" t="str">
        <f>INDEX(products!$A$1:$G$49,MATCH(orders!$D3, products!$A$1:$A$49,0), MATCH(orders!J$1,products!$A$1:$G$1,0))</f>
        <v>M</v>
      </c>
      <c r="K3" s="4">
        <f>INDEX(products!$A$1:$G$49,MATCH(orders!$D3, products!$A$1:$A$49,0), MATCH(orders!K$1,products!$A$1:$G$1,0))</f>
        <v>0.5</v>
      </c>
      <c r="L3" s="5">
        <f>INDEX(products!$A$1:$G$49,MATCH(orders!$D3, products!$A$1:$A$49,0), MATCH(orders!L$1,products!$A$1:$G$1,0))</f>
        <v>8.25</v>
      </c>
      <c r="M3" s="5">
        <f t="shared" ref="M3:M66" si="0">L3*E3</f>
        <v>41.25</v>
      </c>
      <c r="N3" t="str">
        <f t="shared" ref="N3:N66" si="1">IF(I3="Rob","Robusta",IF(I3="Exc", "Excelsa", IF(I3="Ara","Arabica", IF(I3="lib","Liberica",""))))</f>
        <v>Excelsa</v>
      </c>
      <c r="O3" t="str">
        <f t="shared" ref="O3:O66" si="2">IF(J3="M","Medium",IF(J3="L","Light",IF(J3="D","Dark", "")))</f>
        <v>Medium</v>
      </c>
      <c r="P3" t="str">
        <f>_xlfn.XLOOKUP(Table1[[#This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IF(_xlfn.XLOOKUP(C4,customers!$A$1:$A$1001,customers!C3:C1003,,0)=0,"",_xlfn.XLOOKUP(C4,customers!$A$1:$A$1001,customers!C3:C1003,,0))</f>
        <v/>
      </c>
      <c r="H4" s="2" t="str">
        <f>_xlfn.XLOOKUP(orders!C4,customers!$A$1:$A$1001,customers!$G$1:$G$1001,,0)</f>
        <v>United States</v>
      </c>
      <c r="I4" t="str">
        <f>INDEX(products!$A$1:$G$49,MATCH(orders!$D4, products!$A$1:$A$49,0), MATCH(orders!I$1,products!$A$1:$G$1,0))</f>
        <v>Ara</v>
      </c>
      <c r="J4" t="str">
        <f>INDEX(products!$A$1:$G$49,MATCH(orders!$D4, products!$A$1:$A$49,0), MATCH(orders!J$1,products!$A$1:$G$1,0))</f>
        <v>L</v>
      </c>
      <c r="K4" s="4">
        <f>INDEX(products!$A$1:$G$49,MATCH(orders!$D4, products!$A$1:$A$49,0), MATCH(orders!K$1,products!$A$1:$G$1,0))</f>
        <v>1</v>
      </c>
      <c r="L4" s="5">
        <f>INDEX(products!$A$1:$G$49,MATCH(orders!$D4, products!$A$1:$A$49,0), MATCH(orders!L$1,products!$A$1:$G$1,0))</f>
        <v>12.95</v>
      </c>
      <c r="M4" s="5">
        <f t="shared" si="0"/>
        <v>12.95</v>
      </c>
      <c r="N4" t="str">
        <f t="shared" si="1"/>
        <v>Arabica</v>
      </c>
      <c r="O4" t="str">
        <f t="shared" si="2"/>
        <v>Light</v>
      </c>
      <c r="P4" t="str">
        <f>_xlfn.XLOOKUP(Table1[[#This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IF(_xlfn.XLOOKUP(C5,customers!$A$1:$A$1001,customers!C4:C1004,,0)=0,"",_xlfn.XLOOKUP(C5,customers!$A$1:$A$1001,customers!C4:C1004,,0))</f>
        <v/>
      </c>
      <c r="H5" s="2" t="str">
        <f>_xlfn.XLOOKUP(orders!C5,customers!$A$1:$A$1001,customers!$G$1:$G$1001,,0)</f>
        <v>Ireland</v>
      </c>
      <c r="I5" t="str">
        <f>INDEX(products!$A$1:$G$49,MATCH(orders!$D5, products!$A$1:$A$49,0), MATCH(orders!I$1,products!$A$1:$G$1,0))</f>
        <v>Exc</v>
      </c>
      <c r="J5" t="str">
        <f>INDEX(products!$A$1:$G$49,MATCH(orders!$D5, products!$A$1:$A$49,0), MATCH(orders!J$1,products!$A$1:$G$1,0))</f>
        <v>M</v>
      </c>
      <c r="K5" s="4">
        <f>INDEX(products!$A$1:$G$49,MATCH(orders!$D5, products!$A$1:$A$49,0), MATCH(orders!K$1,products!$A$1:$G$1,0))</f>
        <v>1</v>
      </c>
      <c r="L5" s="5">
        <f>INDEX(products!$A$1:$G$49,MATCH(orders!$D5, products!$A$1:$A$49,0), MATCH(orders!L$1,products!$A$1:$G$1,0))</f>
        <v>13.75</v>
      </c>
      <c r="M5" s="5">
        <f t="shared" si="0"/>
        <v>27.5</v>
      </c>
      <c r="N5" t="str">
        <f t="shared" si="1"/>
        <v>Excelsa</v>
      </c>
      <c r="O5" t="str">
        <f t="shared" si="2"/>
        <v>Medium</v>
      </c>
      <c r="P5" t="str">
        <f>_xlfn.XLOOKUP(Table1[[#This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IF(_xlfn.XLOOKUP(C6,customers!$A$1:$A$1001,customers!C5:C1005,,0)=0,"",_xlfn.XLOOKUP(C6,customers!$A$1:$A$1001,customers!C5:C1005,,0))</f>
        <v>gpetracci8@livejournal.com</v>
      </c>
      <c r="H6" s="2" t="str">
        <f>_xlfn.XLOOKUP(orders!C6,customers!$A$1:$A$1001,customers!$G$1:$G$1001,,0)</f>
        <v>Ireland</v>
      </c>
      <c r="I6" t="str">
        <f>INDEX(products!$A$1:$G$49,MATCH(orders!$D6, products!$A$1:$A$49,0), MATCH(orders!I$1,products!$A$1:$G$1,0))</f>
        <v>Rob</v>
      </c>
      <c r="J6" t="str">
        <f>INDEX(products!$A$1:$G$49,MATCH(orders!$D6, products!$A$1:$A$49,0), MATCH(orders!J$1,products!$A$1:$G$1,0))</f>
        <v>L</v>
      </c>
      <c r="K6" s="4">
        <f>INDEX(products!$A$1:$G$49,MATCH(orders!$D6, products!$A$1:$A$49,0), MATCH(orders!K$1,products!$A$1:$G$1,0))</f>
        <v>2.5</v>
      </c>
      <c r="L6" s="5">
        <f>INDEX(products!$A$1:$G$49,MATCH(orders!$D6, products!$A$1:$A$49,0), MATCH(orders!L$1,products!$A$1:$G$1,0))</f>
        <v>27.484999999999996</v>
      </c>
      <c r="M6" s="5">
        <f t="shared" si="0"/>
        <v>54.969999999999992</v>
      </c>
      <c r="N6" t="str">
        <f t="shared" si="1"/>
        <v>Robusta</v>
      </c>
      <c r="O6" t="str">
        <f t="shared" si="2"/>
        <v>Light</v>
      </c>
      <c r="P6" t="str">
        <f>_xlfn.XLOOKUP(Table1[[#This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IF(_xlfn.XLOOKUP(C7,customers!$A$1:$A$1001,customers!C6:C1006,,0)=0,"",_xlfn.XLOOKUP(C7,customers!$A$1:$A$1001,customers!C6:C1006,,0))</f>
        <v>fferbera@businesswire.com</v>
      </c>
      <c r="H7" s="2" t="str">
        <f>_xlfn.XLOOKUP(orders!C7,customers!$A$1:$A$1001,customers!$G$1:$G$1001,,0)</f>
        <v>United States</v>
      </c>
      <c r="I7" t="str">
        <f>INDEX(products!$A$1:$G$49,MATCH(orders!$D7, products!$A$1:$A$49,0), MATCH(orders!I$1,products!$A$1:$G$1,0))</f>
        <v>Lib</v>
      </c>
      <c r="J7" t="str">
        <f>INDEX(products!$A$1:$G$49,MATCH(orders!$D7, products!$A$1:$A$49,0), MATCH(orders!J$1,products!$A$1:$G$1,0))</f>
        <v>D</v>
      </c>
      <c r="K7" s="4">
        <f>INDEX(products!$A$1:$G$49,MATCH(orders!$D7, products!$A$1:$A$49,0), MATCH(orders!K$1,products!$A$1:$G$1,0))</f>
        <v>1</v>
      </c>
      <c r="L7" s="5">
        <f>INDEX(products!$A$1:$G$49,MATCH(orders!$D7, products!$A$1:$A$49,0), MATCH(orders!L$1,products!$A$1:$G$1,0))</f>
        <v>12.95</v>
      </c>
      <c r="M7" s="5">
        <f t="shared" si="0"/>
        <v>38.849999999999994</v>
      </c>
      <c r="N7" t="str">
        <f t="shared" si="1"/>
        <v>Liberica</v>
      </c>
      <c r="O7" t="str">
        <f t="shared" si="2"/>
        <v>Dark</v>
      </c>
      <c r="P7" t="str">
        <f>_xlfn.XLOOKUP(Table1[[#This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IF(_xlfn.XLOOKUP(C8,customers!$A$1:$A$1001,customers!C7:C1007,,0)=0,"",_xlfn.XLOOKUP(C8,customers!$A$1:$A$1001,customers!C7:C1007,,0))</f>
        <v>rscholarc@nyu.edu</v>
      </c>
      <c r="H8" s="2" t="str">
        <f>_xlfn.XLOOKUP(orders!C8,customers!$A$1:$A$1001,customers!$G$1:$G$1001,,0)</f>
        <v>United States</v>
      </c>
      <c r="I8" t="str">
        <f>INDEX(products!$A$1:$G$49,MATCH(orders!$D8, products!$A$1:$A$49,0), MATCH(orders!I$1,products!$A$1:$G$1,0))</f>
        <v>Exc</v>
      </c>
      <c r="J8" t="str">
        <f>INDEX(products!$A$1:$G$49,MATCH(orders!$D8, products!$A$1:$A$49,0), MATCH(orders!J$1,products!$A$1:$G$1,0))</f>
        <v>D</v>
      </c>
      <c r="K8" s="4">
        <f>INDEX(products!$A$1:$G$49,MATCH(orders!$D8, products!$A$1:$A$49,0), MATCH(orders!K$1,products!$A$1:$G$1,0))</f>
        <v>0.5</v>
      </c>
      <c r="L8" s="5">
        <f>INDEX(products!$A$1:$G$49,MATCH(orders!$D8, products!$A$1:$A$49,0), MATCH(orders!L$1,products!$A$1:$G$1,0))</f>
        <v>7.29</v>
      </c>
      <c r="M8" s="5">
        <f t="shared" si="0"/>
        <v>21.87</v>
      </c>
      <c r="N8" t="str">
        <f t="shared" si="1"/>
        <v>Excelsa</v>
      </c>
      <c r="O8" t="str">
        <f t="shared" si="2"/>
        <v>Dark</v>
      </c>
      <c r="P8" t="str">
        <f>_xlfn.XLOOKUP(Table1[[#This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IF(_xlfn.XLOOKUP(C9,customers!$A$1:$A$1001,customers!C8:C1008,,0)=0,"",_xlfn.XLOOKUP(C9,customers!$A$1:$A$1001,customers!C8:C1008,,0))</f>
        <v>ptrobee@wunderground.com</v>
      </c>
      <c r="H9" s="2" t="str">
        <f>_xlfn.XLOOKUP(orders!C9,customers!$A$1:$A$1001,customers!$G$1:$G$1001,,0)</f>
        <v>Ireland</v>
      </c>
      <c r="I9" t="str">
        <f>INDEX(products!$A$1:$G$49,MATCH(orders!$D9, products!$A$1:$A$49,0), MATCH(orders!I$1,products!$A$1:$G$1,0))</f>
        <v>Lib</v>
      </c>
      <c r="J9" t="str">
        <f>INDEX(products!$A$1:$G$49,MATCH(orders!$D9, products!$A$1:$A$49,0), MATCH(orders!J$1,products!$A$1:$G$1,0))</f>
        <v>L</v>
      </c>
      <c r="K9" s="4">
        <f>INDEX(products!$A$1:$G$49,MATCH(orders!$D9, products!$A$1:$A$49,0), MATCH(orders!K$1,products!$A$1:$G$1,0))</f>
        <v>0.2</v>
      </c>
      <c r="L9" s="5">
        <f>INDEX(products!$A$1:$G$49,MATCH(orders!$D9, products!$A$1:$A$49,0), MATCH(orders!L$1,products!$A$1:$G$1,0))</f>
        <v>4.7549999999999999</v>
      </c>
      <c r="M9" s="5">
        <f t="shared" si="0"/>
        <v>4.7549999999999999</v>
      </c>
      <c r="N9" t="str">
        <f t="shared" si="1"/>
        <v>Liberica</v>
      </c>
      <c r="O9" t="str">
        <f t="shared" si="2"/>
        <v>Light</v>
      </c>
      <c r="P9" t="str">
        <f>_xlfn.XLOOKUP(Table1[[#This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IF(_xlfn.XLOOKUP(C10,customers!$A$1:$A$1001,customers!C9:C1009,,0)=0,"",_xlfn.XLOOKUP(C10,customers!$A$1:$A$1001,customers!C9:C1009,,0))</f>
        <v>malabasterg@hexun.com</v>
      </c>
      <c r="H10" s="2" t="str">
        <f>_xlfn.XLOOKUP(orders!C10,customers!$A$1:$A$1001,customers!$G$1:$G$1001,,0)</f>
        <v>United States</v>
      </c>
      <c r="I10" t="str">
        <f>INDEX(products!$A$1:$G$49,MATCH(orders!$D10, products!$A$1:$A$49,0), MATCH(orders!I$1,products!$A$1:$G$1,0))</f>
        <v>Rob</v>
      </c>
      <c r="J10" t="str">
        <f>INDEX(products!$A$1:$G$49,MATCH(orders!$D10, products!$A$1:$A$49,0), MATCH(orders!J$1,products!$A$1:$G$1,0))</f>
        <v>M</v>
      </c>
      <c r="K10" s="4">
        <f>INDEX(products!$A$1:$G$49,MATCH(orders!$D10, products!$A$1:$A$49,0), MATCH(orders!K$1,products!$A$1:$G$1,0))</f>
        <v>0.5</v>
      </c>
      <c r="L10" s="5">
        <f>INDEX(products!$A$1:$G$49,MATCH(orders!$D10, products!$A$1:$A$49,0), MATCH(orders!L$1,products!$A$1:$G$1,0))</f>
        <v>5.97</v>
      </c>
      <c r="M10" s="5">
        <f t="shared" si="0"/>
        <v>17.91</v>
      </c>
      <c r="N10" t="str">
        <f t="shared" si="1"/>
        <v>Robusta</v>
      </c>
      <c r="O10" t="str">
        <f t="shared" si="2"/>
        <v>Medium</v>
      </c>
      <c r="P10" t="str">
        <f>_xlfn.XLOOKUP(Table1[[#This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IF(_xlfn.XLOOKUP(C11,customers!$A$1:$A$1001,customers!C10:C1010,,0)=0,"",_xlfn.XLOOKUP(C11,customers!$A$1:$A$1001,customers!C10:C1010,,0))</f>
        <v>predfordi@ow.ly</v>
      </c>
      <c r="H11" s="2" t="str">
        <f>_xlfn.XLOOKUP(orders!C11,customers!$A$1:$A$1001,customers!$G$1:$G$1001,,0)</f>
        <v>United States</v>
      </c>
      <c r="I11" t="str">
        <f>INDEX(products!$A$1:$G$49,MATCH(orders!$D11, products!$A$1:$A$49,0), MATCH(orders!I$1,products!$A$1:$G$1,0))</f>
        <v>Rob</v>
      </c>
      <c r="J11" t="str">
        <f>INDEX(products!$A$1:$G$49,MATCH(orders!$D11, products!$A$1:$A$49,0), MATCH(orders!J$1,products!$A$1:$G$1,0))</f>
        <v>M</v>
      </c>
      <c r="K11" s="4">
        <f>INDEX(products!$A$1:$G$49,MATCH(orders!$D11, products!$A$1:$A$49,0), MATCH(orders!K$1,products!$A$1:$G$1,0))</f>
        <v>0.5</v>
      </c>
      <c r="L11" s="5">
        <f>INDEX(products!$A$1:$G$49,MATCH(orders!$D11, products!$A$1:$A$49,0), MATCH(orders!L$1,products!$A$1:$G$1,0))</f>
        <v>5.97</v>
      </c>
      <c r="M11" s="5">
        <f t="shared" si="0"/>
        <v>5.97</v>
      </c>
      <c r="N11" t="str">
        <f t="shared" si="1"/>
        <v>Robusta</v>
      </c>
      <c r="O11" t="str">
        <f t="shared" si="2"/>
        <v>Medium</v>
      </c>
      <c r="P11" t="str">
        <f>_xlfn.XLOOKUP(Table1[[#This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IF(_xlfn.XLOOKUP(C12,customers!$A$1:$A$1001,customers!C11:C1011,,0)=0,"",_xlfn.XLOOKUP(C12,customers!$A$1:$A$1001,customers!C11:C1011,,0))</f>
        <v/>
      </c>
      <c r="H12" s="2" t="str">
        <f>_xlfn.XLOOKUP(orders!C12,customers!$A$1:$A$1001,customers!$G$1:$G$1001,,0)</f>
        <v>United States</v>
      </c>
      <c r="I12" t="str">
        <f>INDEX(products!$A$1:$G$49,MATCH(orders!$D12, products!$A$1:$A$49,0), MATCH(orders!I$1,products!$A$1:$G$1,0))</f>
        <v>Ara</v>
      </c>
      <c r="J12" t="str">
        <f>INDEX(products!$A$1:$G$49,MATCH(orders!$D12, products!$A$1:$A$49,0), MATCH(orders!J$1,products!$A$1:$G$1,0))</f>
        <v>D</v>
      </c>
      <c r="K12" s="4">
        <f>INDEX(products!$A$1:$G$49,MATCH(orders!$D12, products!$A$1:$A$49,0), MATCH(orders!K$1,products!$A$1:$G$1,0))</f>
        <v>1</v>
      </c>
      <c r="L12" s="5">
        <f>INDEX(products!$A$1:$G$49,MATCH(orders!$D12, products!$A$1:$A$49,0), MATCH(orders!L$1,products!$A$1:$G$1,0))</f>
        <v>9.9499999999999993</v>
      </c>
      <c r="M12" s="5">
        <f t="shared" si="0"/>
        <v>39.799999999999997</v>
      </c>
      <c r="N12" t="str">
        <f t="shared" si="1"/>
        <v>Arabica</v>
      </c>
      <c r="O12" t="str">
        <f t="shared" si="2"/>
        <v>Dark</v>
      </c>
      <c r="P12" t="str">
        <f>_xlfn.XLOOKUP(Table1[[#This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IF(_xlfn.XLOOKUP(C13,customers!$A$1:$A$1001,customers!C12:C1012,,0)=0,"",_xlfn.XLOOKUP(C13,customers!$A$1:$A$1001,customers!C12:C1012,,0))</f>
        <v>aantukm@kickstarter.com</v>
      </c>
      <c r="H13" s="2" t="str">
        <f>_xlfn.XLOOKUP(orders!C13,customers!$A$1:$A$1001,customers!$G$1:$G$1001,,0)</f>
        <v>United States</v>
      </c>
      <c r="I13" t="str">
        <f>INDEX(products!$A$1:$G$49,MATCH(orders!$D13, products!$A$1:$A$49,0), MATCH(orders!I$1,products!$A$1:$G$1,0))</f>
        <v>Exc</v>
      </c>
      <c r="J13" t="str">
        <f>INDEX(products!$A$1:$G$49,MATCH(orders!$D13, products!$A$1:$A$49,0), MATCH(orders!J$1,products!$A$1:$G$1,0))</f>
        <v>L</v>
      </c>
      <c r="K13" s="4">
        <f>INDEX(products!$A$1:$G$49,MATCH(orders!$D13, products!$A$1:$A$49,0), MATCH(orders!K$1,products!$A$1:$G$1,0))</f>
        <v>2.5</v>
      </c>
      <c r="L13" s="5">
        <f>INDEX(products!$A$1:$G$49,MATCH(orders!$D13, products!$A$1:$A$49,0), MATCH(orders!L$1,products!$A$1:$G$1,0))</f>
        <v>34.154999999999994</v>
      </c>
      <c r="M13" s="5">
        <f t="shared" si="0"/>
        <v>170.77499999999998</v>
      </c>
      <c r="N13" t="str">
        <f t="shared" si="1"/>
        <v>Excelsa</v>
      </c>
      <c r="O13" t="str">
        <f t="shared" si="2"/>
        <v>Light</v>
      </c>
      <c r="P13" t="str">
        <f>_xlfn.XLOOKUP(Table1[[#This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IF(_xlfn.XLOOKUP(C14,customers!$A$1:$A$1001,customers!C13:C1013,,0)=0,"",_xlfn.XLOOKUP(C14,customers!$A$1:$A$1001,customers!C13:C1013,,0))</f>
        <v>cblofeldo@amazon.co.uk</v>
      </c>
      <c r="H14" s="2" t="str">
        <f>_xlfn.XLOOKUP(orders!C14,customers!$A$1:$A$1001,customers!$G$1:$G$1001,,0)</f>
        <v>United States</v>
      </c>
      <c r="I14" t="str">
        <f>INDEX(products!$A$1:$G$49,MATCH(orders!$D14, products!$A$1:$A$49,0), MATCH(orders!I$1,products!$A$1:$G$1,0))</f>
        <v>Rob</v>
      </c>
      <c r="J14" t="str">
        <f>INDEX(products!$A$1:$G$49,MATCH(orders!$D14, products!$A$1:$A$49,0), MATCH(orders!J$1,products!$A$1:$G$1,0))</f>
        <v>M</v>
      </c>
      <c r="K14" s="4">
        <f>INDEX(products!$A$1:$G$49,MATCH(orders!$D14, products!$A$1:$A$49,0), MATCH(orders!K$1,products!$A$1:$G$1,0))</f>
        <v>1</v>
      </c>
      <c r="L14" s="5">
        <f>INDEX(products!$A$1:$G$49,MATCH(orders!$D14, products!$A$1:$A$49,0), MATCH(orders!L$1,products!$A$1:$G$1,0))</f>
        <v>9.9499999999999993</v>
      </c>
      <c r="M14" s="5">
        <f t="shared" si="0"/>
        <v>49.75</v>
      </c>
      <c r="N14" t="str">
        <f t="shared" si="1"/>
        <v>Robusta</v>
      </c>
      <c r="O14" t="str">
        <f t="shared" si="2"/>
        <v>Medium</v>
      </c>
      <c r="P14" t="str">
        <f>_xlfn.XLOOKUP(Table1[[#This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IF(_xlfn.XLOOKUP(C15,customers!$A$1:$A$1001,customers!C14:C1014,,0)=0,"",_xlfn.XLOOKUP(C15,customers!$A$1:$A$1001,customers!C14:C1014,,0))</f>
        <v>sshalesq@umich.edu</v>
      </c>
      <c r="H15" s="2" t="str">
        <f>_xlfn.XLOOKUP(orders!C15,customers!$A$1:$A$1001,customers!$G$1:$G$1001,,0)</f>
        <v>United States</v>
      </c>
      <c r="I15" t="str">
        <f>INDEX(products!$A$1:$G$49,MATCH(orders!$D15, products!$A$1:$A$49,0), MATCH(orders!I$1,products!$A$1:$G$1,0))</f>
        <v>Rob</v>
      </c>
      <c r="J15" t="str">
        <f>INDEX(products!$A$1:$G$49,MATCH(orders!$D15, products!$A$1:$A$49,0), MATCH(orders!J$1,products!$A$1:$G$1,0))</f>
        <v>D</v>
      </c>
      <c r="K15" s="4">
        <f>INDEX(products!$A$1:$G$49,MATCH(orders!$D15, products!$A$1:$A$49,0), MATCH(orders!K$1,products!$A$1:$G$1,0))</f>
        <v>2.5</v>
      </c>
      <c r="L15" s="5">
        <f>INDEX(products!$A$1:$G$49,MATCH(orders!$D15, products!$A$1:$A$49,0), MATCH(orders!L$1,products!$A$1:$G$1,0))</f>
        <v>20.584999999999997</v>
      </c>
      <c r="M15" s="5">
        <f t="shared" si="0"/>
        <v>41.169999999999995</v>
      </c>
      <c r="N15" t="str">
        <f t="shared" si="1"/>
        <v>Robusta</v>
      </c>
      <c r="O15" t="str">
        <f t="shared" si="2"/>
        <v>Dark</v>
      </c>
      <c r="P15" t="str">
        <f>_xlfn.XLOOKUP(Table1[[#This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IF(_xlfn.XLOOKUP(C16,customers!$A$1:$A$1001,customers!C15:C1015,,0)=0,"",_xlfn.XLOOKUP(C16,customers!$A$1:$A$1001,customers!C15:C1015,,0))</f>
        <v>tnewburys@usda.gov</v>
      </c>
      <c r="H16" s="2" t="str">
        <f>_xlfn.XLOOKUP(orders!C16,customers!$A$1:$A$1001,customers!$G$1:$G$1001,,0)</f>
        <v>United States</v>
      </c>
      <c r="I16" t="str">
        <f>INDEX(products!$A$1:$G$49,MATCH(orders!$D16, products!$A$1:$A$49,0), MATCH(orders!I$1,products!$A$1:$G$1,0))</f>
        <v>Lib</v>
      </c>
      <c r="J16" t="str">
        <f>INDEX(products!$A$1:$G$49,MATCH(orders!$D16, products!$A$1:$A$49,0), MATCH(orders!J$1,products!$A$1:$G$1,0))</f>
        <v>D</v>
      </c>
      <c r="K16" s="4">
        <f>INDEX(products!$A$1:$G$49,MATCH(orders!$D16, products!$A$1:$A$49,0), MATCH(orders!K$1,products!$A$1:$G$1,0))</f>
        <v>0.2</v>
      </c>
      <c r="L16" s="5">
        <f>INDEX(products!$A$1:$G$49,MATCH(orders!$D16, products!$A$1:$A$49,0), MATCH(orders!L$1,products!$A$1:$G$1,0))</f>
        <v>3.8849999999999998</v>
      </c>
      <c r="M16" s="5">
        <f t="shared" si="0"/>
        <v>11.654999999999999</v>
      </c>
      <c r="N16" t="str">
        <f t="shared" si="1"/>
        <v>Liberica</v>
      </c>
      <c r="O16" t="str">
        <f t="shared" si="2"/>
        <v>Dark</v>
      </c>
      <c r="P16" t="str">
        <f>_xlfn.XLOOKUP(Table1[[#This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IF(_xlfn.XLOOKUP(C17,customers!$A$1:$A$1001,customers!C16:C1016,,0)=0,"",_xlfn.XLOOKUP(C17,customers!$A$1:$A$1001,customers!C16:C1016,,0))</f>
        <v/>
      </c>
      <c r="H17" s="2" t="str">
        <f>_xlfn.XLOOKUP(orders!C17,customers!$A$1:$A$1001,customers!$G$1:$G$1001,,0)</f>
        <v>United States</v>
      </c>
      <c r="I17" t="str">
        <f>INDEX(products!$A$1:$G$49,MATCH(orders!$D17, products!$A$1:$A$49,0), MATCH(orders!I$1,products!$A$1:$G$1,0))</f>
        <v>Rob</v>
      </c>
      <c r="J17" t="str">
        <f>INDEX(products!$A$1:$G$49,MATCH(orders!$D17, products!$A$1:$A$49,0), MATCH(orders!J$1,products!$A$1:$G$1,0))</f>
        <v>M</v>
      </c>
      <c r="K17" s="4">
        <f>INDEX(products!$A$1:$G$49,MATCH(orders!$D17, products!$A$1:$A$49,0), MATCH(orders!K$1,products!$A$1:$G$1,0))</f>
        <v>2.5</v>
      </c>
      <c r="L17" s="5">
        <f>INDEX(products!$A$1:$G$49,MATCH(orders!$D17, products!$A$1:$A$49,0), MATCH(orders!L$1,products!$A$1:$G$1,0))</f>
        <v>22.884999999999998</v>
      </c>
      <c r="M17" s="5">
        <f t="shared" si="0"/>
        <v>114.42499999999998</v>
      </c>
      <c r="N17" t="str">
        <f t="shared" si="1"/>
        <v>Robusta</v>
      </c>
      <c r="O17" t="str">
        <f t="shared" si="2"/>
        <v>Medium</v>
      </c>
      <c r="P17" t="str">
        <f>_xlfn.XLOOKUP(Table1[[#This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IF(_xlfn.XLOOKUP(C18,customers!$A$1:$A$1001,customers!C17:C1017,,0)=0,"",_xlfn.XLOOKUP(C18,customers!$A$1:$A$1001,customers!C17:C1017,,0))</f>
        <v>nbasezziw@webeden.co.uk</v>
      </c>
      <c r="H18" s="2" t="str">
        <f>_xlfn.XLOOKUP(orders!C18,customers!$A$1:$A$1001,customers!$G$1:$G$1001,,0)</f>
        <v>United States</v>
      </c>
      <c r="I18" t="str">
        <f>INDEX(products!$A$1:$G$49,MATCH(orders!$D18, products!$A$1:$A$49,0), MATCH(orders!I$1,products!$A$1:$G$1,0))</f>
        <v>Ara</v>
      </c>
      <c r="J18" t="str">
        <f>INDEX(products!$A$1:$G$49,MATCH(orders!$D18, products!$A$1:$A$49,0), MATCH(orders!J$1,products!$A$1:$G$1,0))</f>
        <v>M</v>
      </c>
      <c r="K18" s="4">
        <f>INDEX(products!$A$1:$G$49,MATCH(orders!$D18, products!$A$1:$A$49,0), MATCH(orders!K$1,products!$A$1:$G$1,0))</f>
        <v>0.2</v>
      </c>
      <c r="L18" s="5">
        <f>INDEX(products!$A$1:$G$49,MATCH(orders!$D18, products!$A$1:$A$49,0), MATCH(orders!L$1,products!$A$1:$G$1,0))</f>
        <v>3.375</v>
      </c>
      <c r="M18" s="5">
        <f t="shared" si="0"/>
        <v>20.25</v>
      </c>
      <c r="N18" t="str">
        <f t="shared" si="1"/>
        <v>Arabica</v>
      </c>
      <c r="O18" t="str">
        <f t="shared" si="2"/>
        <v>Medium</v>
      </c>
      <c r="P18" t="str">
        <f>_xlfn.XLOOKUP(Table1[[#This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IF(_xlfn.XLOOKUP(C19,customers!$A$1:$A$1001,customers!C18:C1018,,0)=0,"",_xlfn.XLOOKUP(C19,customers!$A$1:$A$1001,customers!C18:C1018,,0))</f>
        <v>uwelberryy@ebay.co.uk</v>
      </c>
      <c r="H19" s="2" t="str">
        <f>_xlfn.XLOOKUP(orders!C19,customers!$A$1:$A$1001,customers!$G$1:$G$1001,,0)</f>
        <v>United States</v>
      </c>
      <c r="I19" t="str">
        <f>INDEX(products!$A$1:$G$49,MATCH(orders!$D19, products!$A$1:$A$49,0), MATCH(orders!I$1,products!$A$1:$G$1,0))</f>
        <v>Ara</v>
      </c>
      <c r="J19" t="str">
        <f>INDEX(products!$A$1:$G$49,MATCH(orders!$D19, products!$A$1:$A$49,0), MATCH(orders!J$1,products!$A$1:$G$1,0))</f>
        <v>L</v>
      </c>
      <c r="K19" s="4">
        <f>INDEX(products!$A$1:$G$49,MATCH(orders!$D19, products!$A$1:$A$49,0), MATCH(orders!K$1,products!$A$1:$G$1,0))</f>
        <v>1</v>
      </c>
      <c r="L19" s="5">
        <f>INDEX(products!$A$1:$G$49,MATCH(orders!$D19, products!$A$1:$A$49,0), MATCH(orders!L$1,products!$A$1:$G$1,0))</f>
        <v>12.95</v>
      </c>
      <c r="M19" s="5">
        <f t="shared" si="0"/>
        <v>77.699999999999989</v>
      </c>
      <c r="N19" t="str">
        <f t="shared" si="1"/>
        <v>Arabica</v>
      </c>
      <c r="O19" t="str">
        <f t="shared" si="2"/>
        <v>Light</v>
      </c>
      <c r="P19" t="str">
        <f>_xlfn.XLOOKUP(Table1[[#This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IF(_xlfn.XLOOKUP(C20,customers!$A$1:$A$1001,customers!C19:C1019,,0)=0,"",_xlfn.XLOOKUP(C20,customers!$A$1:$A$1001,customers!C19:C1019,,0))</f>
        <v>zponting10@altervista.org</v>
      </c>
      <c r="H20" s="2" t="str">
        <f>_xlfn.XLOOKUP(orders!C20,customers!$A$1:$A$1001,customers!$G$1:$G$1001,,0)</f>
        <v>Ireland</v>
      </c>
      <c r="I20" t="str">
        <f>INDEX(products!$A$1:$G$49,MATCH(orders!$D20, products!$A$1:$A$49,0), MATCH(orders!I$1,products!$A$1:$G$1,0))</f>
        <v>Rob</v>
      </c>
      <c r="J20" t="str">
        <f>INDEX(products!$A$1:$G$49,MATCH(orders!$D20, products!$A$1:$A$49,0), MATCH(orders!J$1,products!$A$1:$G$1,0))</f>
        <v>D</v>
      </c>
      <c r="K20" s="4">
        <f>INDEX(products!$A$1:$G$49,MATCH(orders!$D20, products!$A$1:$A$49,0), MATCH(orders!K$1,products!$A$1:$G$1,0))</f>
        <v>2.5</v>
      </c>
      <c r="L20" s="5">
        <f>INDEX(products!$A$1:$G$49,MATCH(orders!$D20, products!$A$1:$A$49,0), MATCH(orders!L$1,products!$A$1:$G$1,0))</f>
        <v>20.584999999999997</v>
      </c>
      <c r="M20" s="5">
        <f t="shared" si="0"/>
        <v>82.339999999999989</v>
      </c>
      <c r="N20" t="str">
        <f t="shared" si="1"/>
        <v>Robusta</v>
      </c>
      <c r="O20" t="str">
        <f t="shared" si="2"/>
        <v>Dark</v>
      </c>
      <c r="P20" t="str">
        <f>_xlfn.XLOOKUP(Table1[[#This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IF(_xlfn.XLOOKUP(C21,customers!$A$1:$A$1001,customers!C20:C1020,,0)=0,"",_xlfn.XLOOKUP(C21,customers!$A$1:$A$1001,customers!C20:C1020,,0))</f>
        <v>dde12@unesco.org</v>
      </c>
      <c r="H21" s="2" t="str">
        <f>_xlfn.XLOOKUP(orders!C21,customers!$A$1:$A$1001,customers!$G$1:$G$1001,,0)</f>
        <v>United States</v>
      </c>
      <c r="I21" t="str">
        <f>INDEX(products!$A$1:$G$49,MATCH(orders!$D21, products!$A$1:$A$49,0), MATCH(orders!I$1,products!$A$1:$G$1,0))</f>
        <v>Ara</v>
      </c>
      <c r="J21" t="str">
        <f>INDEX(products!$A$1:$G$49,MATCH(orders!$D21, products!$A$1:$A$49,0), MATCH(orders!J$1,products!$A$1:$G$1,0))</f>
        <v>M</v>
      </c>
      <c r="K21" s="4">
        <f>INDEX(products!$A$1:$G$49,MATCH(orders!$D21, products!$A$1:$A$49,0), MATCH(orders!K$1,products!$A$1:$G$1,0))</f>
        <v>0.2</v>
      </c>
      <c r="L21" s="5">
        <f>INDEX(products!$A$1:$G$49,MATCH(orders!$D21, products!$A$1:$A$49,0), MATCH(orders!L$1,products!$A$1:$G$1,0))</f>
        <v>3.375</v>
      </c>
      <c r="M21" s="5">
        <f t="shared" si="0"/>
        <v>16.875</v>
      </c>
      <c r="N21" t="str">
        <f t="shared" si="1"/>
        <v>Arabica</v>
      </c>
      <c r="O21" t="str">
        <f t="shared" si="2"/>
        <v>Medium</v>
      </c>
      <c r="P21" t="str">
        <f>_xlfn.XLOOKUP(Table1[[#This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IF(_xlfn.XLOOKUP(C22,customers!$A$1:$A$1001,customers!C21:C1021,,0)=0,"",_xlfn.XLOOKUP(C22,customers!$A$1:$A$1001,customers!C21:C1021,,0))</f>
        <v/>
      </c>
      <c r="H22" s="2" t="str">
        <f>_xlfn.XLOOKUP(orders!C22,customers!$A$1:$A$1001,customers!$G$1:$G$1001,,0)</f>
        <v>United States</v>
      </c>
      <c r="I22" t="str">
        <f>INDEX(products!$A$1:$G$49,MATCH(orders!$D22, products!$A$1:$A$49,0), MATCH(orders!I$1,products!$A$1:$G$1,0))</f>
        <v>Exc</v>
      </c>
      <c r="J22" t="str">
        <f>INDEX(products!$A$1:$G$49,MATCH(orders!$D22, products!$A$1:$A$49,0), MATCH(orders!J$1,products!$A$1:$G$1,0))</f>
        <v>D</v>
      </c>
      <c r="K22" s="4">
        <f>INDEX(products!$A$1:$G$49,MATCH(orders!$D22, products!$A$1:$A$49,0), MATCH(orders!K$1,products!$A$1:$G$1,0))</f>
        <v>0.2</v>
      </c>
      <c r="L22" s="5">
        <f>INDEX(products!$A$1:$G$49,MATCH(orders!$D22, products!$A$1:$A$49,0), MATCH(orders!L$1,products!$A$1:$G$1,0))</f>
        <v>3.645</v>
      </c>
      <c r="M22" s="5">
        <f t="shared" si="0"/>
        <v>14.58</v>
      </c>
      <c r="N22" t="str">
        <f t="shared" si="1"/>
        <v>Excelsa</v>
      </c>
      <c r="O22" t="str">
        <f t="shared" si="2"/>
        <v>Dark</v>
      </c>
      <c r="P22" t="str">
        <f>_xlfn.XLOOKUP(Table1[[#This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IF(_xlfn.XLOOKUP(C23,customers!$A$1:$A$1001,customers!C22:C1022,,0)=0,"",_xlfn.XLOOKUP(C23,customers!$A$1:$A$1001,customers!C22:C1022,,0))</f>
        <v>atolworthy16@toplist.cz</v>
      </c>
      <c r="H23" s="2" t="str">
        <f>_xlfn.XLOOKUP(orders!C23,customers!$A$1:$A$1001,customers!$G$1:$G$1001,,0)</f>
        <v>United States</v>
      </c>
      <c r="I23" t="str">
        <f>INDEX(products!$A$1:$G$49,MATCH(orders!$D23, products!$A$1:$A$49,0), MATCH(orders!I$1,products!$A$1:$G$1,0))</f>
        <v>Ara</v>
      </c>
      <c r="J23" t="str">
        <f>INDEX(products!$A$1:$G$49,MATCH(orders!$D23, products!$A$1:$A$49,0), MATCH(orders!J$1,products!$A$1:$G$1,0))</f>
        <v>D</v>
      </c>
      <c r="K23" s="4">
        <f>INDEX(products!$A$1:$G$49,MATCH(orders!$D23, products!$A$1:$A$49,0), MATCH(orders!K$1,products!$A$1:$G$1,0))</f>
        <v>0.2</v>
      </c>
      <c r="L23" s="5">
        <f>INDEX(products!$A$1:$G$49,MATCH(orders!$D23, products!$A$1:$A$49,0), MATCH(orders!L$1,products!$A$1:$G$1,0))</f>
        <v>2.9849999999999999</v>
      </c>
      <c r="M23" s="5">
        <f t="shared" si="0"/>
        <v>17.91</v>
      </c>
      <c r="N23" t="str">
        <f t="shared" si="1"/>
        <v>Arabica</v>
      </c>
      <c r="O23" t="str">
        <f t="shared" si="2"/>
        <v>Dark</v>
      </c>
      <c r="P23" t="str">
        <f>_xlfn.XLOOKUP(Table1[[#This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IF(_xlfn.XLOOKUP(C24,customers!$A$1:$A$1001,customers!C23:C1023,,0)=0,"",_xlfn.XLOOKUP(C24,customers!$A$1:$A$1001,customers!C23:C1023,,0))</f>
        <v>obaudassi18@seesaa.net</v>
      </c>
      <c r="H24" s="2" t="str">
        <f>_xlfn.XLOOKUP(orders!C24,customers!$A$1:$A$1001,customers!$G$1:$G$1001,,0)</f>
        <v>United States</v>
      </c>
      <c r="I24" t="str">
        <f>INDEX(products!$A$1:$G$49,MATCH(orders!$D24, products!$A$1:$A$49,0), MATCH(orders!I$1,products!$A$1:$G$1,0))</f>
        <v>Rob</v>
      </c>
      <c r="J24" t="str">
        <f>INDEX(products!$A$1:$G$49,MATCH(orders!$D24, products!$A$1:$A$49,0), MATCH(orders!J$1,products!$A$1:$G$1,0))</f>
        <v>M</v>
      </c>
      <c r="K24" s="4">
        <f>INDEX(products!$A$1:$G$49,MATCH(orders!$D24, products!$A$1:$A$49,0), MATCH(orders!K$1,products!$A$1:$G$1,0))</f>
        <v>2.5</v>
      </c>
      <c r="L24" s="5">
        <f>INDEX(products!$A$1:$G$49,MATCH(orders!$D24, products!$A$1:$A$49,0), MATCH(orders!L$1,products!$A$1:$G$1,0))</f>
        <v>22.884999999999998</v>
      </c>
      <c r="M24" s="5">
        <f t="shared" si="0"/>
        <v>91.539999999999992</v>
      </c>
      <c r="N24" t="str">
        <f t="shared" si="1"/>
        <v>Robusta</v>
      </c>
      <c r="O24" t="str">
        <f t="shared" si="2"/>
        <v>Medium</v>
      </c>
      <c r="P24" t="str">
        <f>_xlfn.XLOOKUP(Table1[[#This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IF(_xlfn.XLOOKUP(C25,customers!$A$1:$A$1001,customers!C24:C1024,,0)=0,"",_xlfn.XLOOKUP(C25,customers!$A$1:$A$1001,customers!C24:C1024,,0))</f>
        <v/>
      </c>
      <c r="H25" s="2" t="str">
        <f>_xlfn.XLOOKUP(orders!C25,customers!$A$1:$A$1001,customers!$G$1:$G$1001,,0)</f>
        <v>United States</v>
      </c>
      <c r="I25" t="str">
        <f>INDEX(products!$A$1:$G$49,MATCH(orders!$D25, products!$A$1:$A$49,0), MATCH(orders!I$1,products!$A$1:$G$1,0))</f>
        <v>Ara</v>
      </c>
      <c r="J25" t="str">
        <f>INDEX(products!$A$1:$G$49,MATCH(orders!$D25, products!$A$1:$A$49,0), MATCH(orders!J$1,products!$A$1:$G$1,0))</f>
        <v>D</v>
      </c>
      <c r="K25" s="4">
        <f>INDEX(products!$A$1:$G$49,MATCH(orders!$D25, products!$A$1:$A$49,0), MATCH(orders!K$1,products!$A$1:$G$1,0))</f>
        <v>0.2</v>
      </c>
      <c r="L25" s="5">
        <f>INDEX(products!$A$1:$G$49,MATCH(orders!$D25, products!$A$1:$A$49,0), MATCH(orders!L$1,products!$A$1:$G$1,0))</f>
        <v>2.9849999999999999</v>
      </c>
      <c r="M25" s="5">
        <f t="shared" si="0"/>
        <v>11.94</v>
      </c>
      <c r="N25" t="str">
        <f t="shared" si="1"/>
        <v>Arabica</v>
      </c>
      <c r="O25" t="str">
        <f t="shared" si="2"/>
        <v>Dark</v>
      </c>
      <c r="P25" t="str">
        <f>_xlfn.XLOOKUP(Table1[[#This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IF(_xlfn.XLOOKUP(C26,customers!$A$1:$A$1001,customers!C25:C1025,,0)=0,"",_xlfn.XLOOKUP(C26,customers!$A$1:$A$1001,customers!C25:C1025,,0))</f>
        <v>rmcgilvary1c@tamu.edu</v>
      </c>
      <c r="H26" s="2" t="str">
        <f>_xlfn.XLOOKUP(orders!C26,customers!$A$1:$A$1001,customers!$G$1:$G$1001,,0)</f>
        <v>United States</v>
      </c>
      <c r="I26" t="str">
        <f>INDEX(products!$A$1:$G$49,MATCH(orders!$D26, products!$A$1:$A$49,0), MATCH(orders!I$1,products!$A$1:$G$1,0))</f>
        <v>Ara</v>
      </c>
      <c r="J26" t="str">
        <f>INDEX(products!$A$1:$G$49,MATCH(orders!$D26, products!$A$1:$A$49,0), MATCH(orders!J$1,products!$A$1:$G$1,0))</f>
        <v>M</v>
      </c>
      <c r="K26" s="4">
        <f>INDEX(products!$A$1:$G$49,MATCH(orders!$D26, products!$A$1:$A$49,0), MATCH(orders!K$1,products!$A$1:$G$1,0))</f>
        <v>1</v>
      </c>
      <c r="L26" s="5">
        <f>INDEX(products!$A$1:$G$49,MATCH(orders!$D26, products!$A$1:$A$49,0), MATCH(orders!L$1,products!$A$1:$G$1,0))</f>
        <v>11.25</v>
      </c>
      <c r="M26" s="5">
        <f t="shared" si="0"/>
        <v>11.25</v>
      </c>
      <c r="N26" t="str">
        <f t="shared" si="1"/>
        <v>Arabica</v>
      </c>
      <c r="O26" t="str">
        <f t="shared" si="2"/>
        <v>Medium</v>
      </c>
      <c r="P26" t="str">
        <f>_xlfn.XLOOKUP(Table1[[#This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IF(_xlfn.XLOOKUP(C27,customers!$A$1:$A$1001,customers!C26:C1026,,0)=0,"",_xlfn.XLOOKUP(C27,customers!$A$1:$A$1001,customers!C26:C1026,,0))</f>
        <v>ibouldon1e@gizmodo.com</v>
      </c>
      <c r="H27" s="2" t="str">
        <f>_xlfn.XLOOKUP(orders!C27,customers!$A$1:$A$1001,customers!$G$1:$G$1001,,0)</f>
        <v>United States</v>
      </c>
      <c r="I27" t="str">
        <f>INDEX(products!$A$1:$G$49,MATCH(orders!$D27, products!$A$1:$A$49,0), MATCH(orders!I$1,products!$A$1:$G$1,0))</f>
        <v>Exc</v>
      </c>
      <c r="J27" t="str">
        <f>INDEX(products!$A$1:$G$49,MATCH(orders!$D27, products!$A$1:$A$49,0), MATCH(orders!J$1,products!$A$1:$G$1,0))</f>
        <v>M</v>
      </c>
      <c r="K27" s="4">
        <f>INDEX(products!$A$1:$G$49,MATCH(orders!$D27, products!$A$1:$A$49,0), MATCH(orders!K$1,products!$A$1:$G$1,0))</f>
        <v>0.2</v>
      </c>
      <c r="L27" s="5">
        <f>INDEX(products!$A$1:$G$49,MATCH(orders!$D27, products!$A$1:$A$49,0), MATCH(orders!L$1,products!$A$1:$G$1,0))</f>
        <v>4.125</v>
      </c>
      <c r="M27" s="5">
        <f t="shared" si="0"/>
        <v>12.375</v>
      </c>
      <c r="N27" t="str">
        <f t="shared" si="1"/>
        <v>Excelsa</v>
      </c>
      <c r="O27" t="str">
        <f t="shared" si="2"/>
        <v>Medium</v>
      </c>
      <c r="P27" t="str">
        <f>_xlfn.XLOOKUP(Table1[[#This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IF(_xlfn.XLOOKUP(C28,customers!$A$1:$A$1001,customers!C27:C1027,,0)=0,"",_xlfn.XLOOKUP(C28,customers!$A$1:$A$1001,customers!C27:C1027,,0))</f>
        <v>hmattioli1g@webmd.com</v>
      </c>
      <c r="H28" s="2" t="str">
        <f>_xlfn.XLOOKUP(orders!C28,customers!$A$1:$A$1001,customers!$G$1:$G$1001,,0)</f>
        <v>United States</v>
      </c>
      <c r="I28" t="str">
        <f>INDEX(products!$A$1:$G$49,MATCH(orders!$D28, products!$A$1:$A$49,0), MATCH(orders!I$1,products!$A$1:$G$1,0))</f>
        <v>Ara</v>
      </c>
      <c r="J28" t="str">
        <f>INDEX(products!$A$1:$G$49,MATCH(orders!$D28, products!$A$1:$A$49,0), MATCH(orders!J$1,products!$A$1:$G$1,0))</f>
        <v>M</v>
      </c>
      <c r="K28" s="4">
        <f>INDEX(products!$A$1:$G$49,MATCH(orders!$D28, products!$A$1:$A$49,0), MATCH(orders!K$1,products!$A$1:$G$1,0))</f>
        <v>0.5</v>
      </c>
      <c r="L28" s="5">
        <f>INDEX(products!$A$1:$G$49,MATCH(orders!$D28, products!$A$1:$A$49,0), MATCH(orders!L$1,products!$A$1:$G$1,0))</f>
        <v>6.75</v>
      </c>
      <c r="M28" s="5">
        <f t="shared" si="0"/>
        <v>27</v>
      </c>
      <c r="N28" t="str">
        <f t="shared" si="1"/>
        <v>Arabica</v>
      </c>
      <c r="O28" t="str">
        <f t="shared" si="2"/>
        <v>Medium</v>
      </c>
      <c r="P28" t="str">
        <f>_xlfn.XLOOKUP(Table1[[#This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IF(_xlfn.XLOOKUP(C29,customers!$A$1:$A$1001,customers!C28:C1028,,0)=0,"",_xlfn.XLOOKUP(C29,customers!$A$1:$A$1001,customers!C28:C1028,,0))</f>
        <v>agillard1i@issuu.com</v>
      </c>
      <c r="H29" s="2" t="str">
        <f>_xlfn.XLOOKUP(orders!C29,customers!$A$1:$A$1001,customers!$G$1:$G$1001,,0)</f>
        <v>Ireland</v>
      </c>
      <c r="I29" t="str">
        <f>INDEX(products!$A$1:$G$49,MATCH(orders!$D29, products!$A$1:$A$49,0), MATCH(orders!I$1,products!$A$1:$G$1,0))</f>
        <v>Ara</v>
      </c>
      <c r="J29" t="str">
        <f>INDEX(products!$A$1:$G$49,MATCH(orders!$D29, products!$A$1:$A$49,0), MATCH(orders!J$1,products!$A$1:$G$1,0))</f>
        <v>M</v>
      </c>
      <c r="K29" s="4">
        <f>INDEX(products!$A$1:$G$49,MATCH(orders!$D29, products!$A$1:$A$49,0), MATCH(orders!K$1,products!$A$1:$G$1,0))</f>
        <v>0.2</v>
      </c>
      <c r="L29" s="5">
        <f>INDEX(products!$A$1:$G$49,MATCH(orders!$D29, products!$A$1:$A$49,0), MATCH(orders!L$1,products!$A$1:$G$1,0))</f>
        <v>3.375</v>
      </c>
      <c r="M29" s="5">
        <f t="shared" si="0"/>
        <v>16.875</v>
      </c>
      <c r="N29" t="str">
        <f t="shared" si="1"/>
        <v>Arabica</v>
      </c>
      <c r="O29" t="str">
        <f t="shared" si="2"/>
        <v>Medium</v>
      </c>
      <c r="P29" t="str">
        <f>_xlfn.XLOOKUP(Table1[[#This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IF(_xlfn.XLOOKUP(C30,customers!$A$1:$A$1001,customers!C29:C1029,,0)=0,"",_xlfn.XLOOKUP(C30,customers!$A$1:$A$1001,customers!C29:C1029,,0))</f>
        <v>tgrizard1k@odnoklassniki.ru</v>
      </c>
      <c r="H30" s="2" t="str">
        <f>_xlfn.XLOOKUP(orders!C30,customers!$A$1:$A$1001,customers!$G$1:$G$1001,,0)</f>
        <v>Ireland</v>
      </c>
      <c r="I30" t="str">
        <f>INDEX(products!$A$1:$G$49,MATCH(orders!$D30, products!$A$1:$A$49,0), MATCH(orders!I$1,products!$A$1:$G$1,0))</f>
        <v>Ara</v>
      </c>
      <c r="J30" t="str">
        <f>INDEX(products!$A$1:$G$49,MATCH(orders!$D30, products!$A$1:$A$49,0), MATCH(orders!J$1,products!$A$1:$G$1,0))</f>
        <v>D</v>
      </c>
      <c r="K30" s="4">
        <f>INDEX(products!$A$1:$G$49,MATCH(orders!$D30, products!$A$1:$A$49,0), MATCH(orders!K$1,products!$A$1:$G$1,0))</f>
        <v>0.5</v>
      </c>
      <c r="L30" s="5">
        <f>INDEX(products!$A$1:$G$49,MATCH(orders!$D30, products!$A$1:$A$49,0), MATCH(orders!L$1,products!$A$1:$G$1,0))</f>
        <v>5.97</v>
      </c>
      <c r="M30" s="5">
        <f t="shared" si="0"/>
        <v>17.91</v>
      </c>
      <c r="N30" t="str">
        <f t="shared" si="1"/>
        <v>Arabica</v>
      </c>
      <c r="O30" t="str">
        <f t="shared" si="2"/>
        <v>Dark</v>
      </c>
      <c r="P30" t="str">
        <f>_xlfn.XLOOKUP(Table1[[#This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IF(_xlfn.XLOOKUP(C31,customers!$A$1:$A$1001,customers!C30:C1030,,0)=0,"",_xlfn.XLOOKUP(C31,customers!$A$1:$A$1001,customers!C30:C1030,,0))</f>
        <v/>
      </c>
      <c r="H31" s="2" t="str">
        <f>_xlfn.XLOOKUP(orders!C31,customers!$A$1:$A$1001,customers!$G$1:$G$1001,,0)</f>
        <v>Ireland</v>
      </c>
      <c r="I31" t="str">
        <f>INDEX(products!$A$1:$G$49,MATCH(orders!$D31, products!$A$1:$A$49,0), MATCH(orders!I$1,products!$A$1:$G$1,0))</f>
        <v>Ara</v>
      </c>
      <c r="J31" t="str">
        <f>INDEX(products!$A$1:$G$49,MATCH(orders!$D31, products!$A$1:$A$49,0), MATCH(orders!J$1,products!$A$1:$G$1,0))</f>
        <v>D</v>
      </c>
      <c r="K31" s="4">
        <f>INDEX(products!$A$1:$G$49,MATCH(orders!$D31, products!$A$1:$A$49,0), MATCH(orders!K$1,products!$A$1:$G$1,0))</f>
        <v>1</v>
      </c>
      <c r="L31" s="5">
        <f>INDEX(products!$A$1:$G$49,MATCH(orders!$D31, products!$A$1:$A$49,0), MATCH(orders!L$1,products!$A$1:$G$1,0))</f>
        <v>9.9499999999999993</v>
      </c>
      <c r="M31" s="5">
        <f t="shared" si="0"/>
        <v>39.799999999999997</v>
      </c>
      <c r="N31" t="str">
        <f t="shared" si="1"/>
        <v>Arabica</v>
      </c>
      <c r="O31" t="str">
        <f t="shared" si="2"/>
        <v>Dark</v>
      </c>
      <c r="P31" t="str">
        <f>_xlfn.XLOOKUP(Table1[[#This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IF(_xlfn.XLOOKUP(C32,customers!$A$1:$A$1001,customers!C31:C1031,,0)=0,"",_xlfn.XLOOKUP(C32,customers!$A$1:$A$1001,customers!C31:C1031,,0))</f>
        <v>ccottingham1o@wikipedia.org</v>
      </c>
      <c r="H32" s="2" t="str">
        <f>_xlfn.XLOOKUP(orders!C32,customers!$A$1:$A$1001,customers!$G$1:$G$1001,,0)</f>
        <v>United States</v>
      </c>
      <c r="I32" t="str">
        <f>INDEX(products!$A$1:$G$49,MATCH(orders!$D32, products!$A$1:$A$49,0), MATCH(orders!I$1,products!$A$1:$G$1,0))</f>
        <v>Lib</v>
      </c>
      <c r="J32" t="str">
        <f>INDEX(products!$A$1:$G$49,MATCH(orders!$D32, products!$A$1:$A$49,0), MATCH(orders!J$1,products!$A$1:$G$1,0))</f>
        <v>M</v>
      </c>
      <c r="K32" s="4">
        <f>INDEX(products!$A$1:$G$49,MATCH(orders!$D32, products!$A$1:$A$49,0), MATCH(orders!K$1,products!$A$1:$G$1,0))</f>
        <v>0.2</v>
      </c>
      <c r="L32" s="5">
        <f>INDEX(products!$A$1:$G$49,MATCH(orders!$D32, products!$A$1:$A$49,0), MATCH(orders!L$1,products!$A$1:$G$1,0))</f>
        <v>4.3650000000000002</v>
      </c>
      <c r="M32" s="5">
        <f t="shared" si="0"/>
        <v>21.825000000000003</v>
      </c>
      <c r="N32" t="str">
        <f t="shared" si="1"/>
        <v>Liberica</v>
      </c>
      <c r="O32" t="str">
        <f t="shared" si="2"/>
        <v>Medium</v>
      </c>
      <c r="P32" t="str">
        <f>_xlfn.XLOOKUP(Table1[[#This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IF(_xlfn.XLOOKUP(C33,customers!$A$1:$A$1001,customers!C32:C1032,,0)=0,"",_xlfn.XLOOKUP(C33,customers!$A$1:$A$1001,customers!C32:C1032,,0))</f>
        <v/>
      </c>
      <c r="H33" s="2" t="str">
        <f>_xlfn.XLOOKUP(orders!C33,customers!$A$1:$A$1001,customers!$G$1:$G$1001,,0)</f>
        <v>United States</v>
      </c>
      <c r="I33" t="str">
        <f>INDEX(products!$A$1:$G$49,MATCH(orders!$D33, products!$A$1:$A$49,0), MATCH(orders!I$1,products!$A$1:$G$1,0))</f>
        <v>Ara</v>
      </c>
      <c r="J33" t="str">
        <f>INDEX(products!$A$1:$G$49,MATCH(orders!$D33, products!$A$1:$A$49,0), MATCH(orders!J$1,products!$A$1:$G$1,0))</f>
        <v>D</v>
      </c>
      <c r="K33" s="4">
        <f>INDEX(products!$A$1:$G$49,MATCH(orders!$D33, products!$A$1:$A$49,0), MATCH(orders!K$1,products!$A$1:$G$1,0))</f>
        <v>0.5</v>
      </c>
      <c r="L33" s="5">
        <f>INDEX(products!$A$1:$G$49,MATCH(orders!$D33, products!$A$1:$A$49,0), MATCH(orders!L$1,products!$A$1:$G$1,0))</f>
        <v>5.97</v>
      </c>
      <c r="M33" s="5">
        <f t="shared" si="0"/>
        <v>35.82</v>
      </c>
      <c r="N33" t="str">
        <f t="shared" si="1"/>
        <v>Arabica</v>
      </c>
      <c r="O33" t="str">
        <f t="shared" si="2"/>
        <v>Dark</v>
      </c>
      <c r="P33" t="str">
        <f>_xlfn.XLOOKUP(Table1[[#This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IF(_xlfn.XLOOKUP(C34,customers!$A$1:$A$1001,customers!C33:C1033,,0)=0,"",_xlfn.XLOOKUP(C34,customers!$A$1:$A$1001,customers!C33:C1033,,0))</f>
        <v/>
      </c>
      <c r="H34" s="2" t="str">
        <f>_xlfn.XLOOKUP(orders!C34,customers!$A$1:$A$1001,customers!$G$1:$G$1001,,0)</f>
        <v>United States</v>
      </c>
      <c r="I34" t="str">
        <f>INDEX(products!$A$1:$G$49,MATCH(orders!$D34, products!$A$1:$A$49,0), MATCH(orders!I$1,products!$A$1:$G$1,0))</f>
        <v>Lib</v>
      </c>
      <c r="J34" t="str">
        <f>INDEX(products!$A$1:$G$49,MATCH(orders!$D34, products!$A$1:$A$49,0), MATCH(orders!J$1,products!$A$1:$G$1,0))</f>
        <v>M</v>
      </c>
      <c r="K34" s="4">
        <f>INDEX(products!$A$1:$G$49,MATCH(orders!$D34, products!$A$1:$A$49,0), MATCH(orders!K$1,products!$A$1:$G$1,0))</f>
        <v>0.5</v>
      </c>
      <c r="L34" s="5">
        <f>INDEX(products!$A$1:$G$49,MATCH(orders!$D34, products!$A$1:$A$49,0), MATCH(orders!L$1,products!$A$1:$G$1,0))</f>
        <v>8.73</v>
      </c>
      <c r="M34" s="5">
        <f t="shared" si="0"/>
        <v>52.38</v>
      </c>
      <c r="N34" t="str">
        <f t="shared" si="1"/>
        <v>Liberica</v>
      </c>
      <c r="O34" t="str">
        <f t="shared" si="2"/>
        <v>Medium</v>
      </c>
      <c r="P34" t="str">
        <f>_xlfn.XLOOKUP(Table1[[#This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IF(_xlfn.XLOOKUP(C35,customers!$A$1:$A$1001,customers!C34:C1034,,0)=0,"",_xlfn.XLOOKUP(C35,customers!$A$1:$A$1001,customers!C34:C1034,,0))</f>
        <v>bumpleby1u@soundcloud.com</v>
      </c>
      <c r="H35" s="2" t="str">
        <f>_xlfn.XLOOKUP(orders!C35,customers!$A$1:$A$1001,customers!$G$1:$G$1001,,0)</f>
        <v>United States</v>
      </c>
      <c r="I35" t="str">
        <f>INDEX(products!$A$1:$G$49,MATCH(orders!$D35, products!$A$1:$A$49,0), MATCH(orders!I$1,products!$A$1:$G$1,0))</f>
        <v>Lib</v>
      </c>
      <c r="J35" t="str">
        <f>INDEX(products!$A$1:$G$49,MATCH(orders!$D35, products!$A$1:$A$49,0), MATCH(orders!J$1,products!$A$1:$G$1,0))</f>
        <v>L</v>
      </c>
      <c r="K35" s="4">
        <f>INDEX(products!$A$1:$G$49,MATCH(orders!$D35, products!$A$1:$A$49,0), MATCH(orders!K$1,products!$A$1:$G$1,0))</f>
        <v>0.2</v>
      </c>
      <c r="L35" s="5">
        <f>INDEX(products!$A$1:$G$49,MATCH(orders!$D35, products!$A$1:$A$49,0), MATCH(orders!L$1,products!$A$1:$G$1,0))</f>
        <v>4.7549999999999999</v>
      </c>
      <c r="M35" s="5">
        <f t="shared" si="0"/>
        <v>23.774999999999999</v>
      </c>
      <c r="N35" t="str">
        <f t="shared" si="1"/>
        <v>Liberica</v>
      </c>
      <c r="O35" t="str">
        <f t="shared" si="2"/>
        <v>Light</v>
      </c>
      <c r="P35" t="str">
        <f>_xlfn.XLOOKUP(Table1[[#This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IF(_xlfn.XLOOKUP(C36,customers!$A$1:$A$1001,customers!C35:C1035,,0)=0,"",_xlfn.XLOOKUP(C36,customers!$A$1:$A$1001,customers!C35:C1035,,0))</f>
        <v>hgoulter1w@abc.net.au</v>
      </c>
      <c r="H36" s="2" t="str">
        <f>_xlfn.XLOOKUP(orders!C36,customers!$A$1:$A$1001,customers!$G$1:$G$1001,,0)</f>
        <v>United Kingdom</v>
      </c>
      <c r="I36" t="str">
        <f>INDEX(products!$A$1:$G$49,MATCH(orders!$D36, products!$A$1:$A$49,0), MATCH(orders!I$1,products!$A$1:$G$1,0))</f>
        <v>Lib</v>
      </c>
      <c r="J36" t="str">
        <f>INDEX(products!$A$1:$G$49,MATCH(orders!$D36, products!$A$1:$A$49,0), MATCH(orders!J$1,products!$A$1:$G$1,0))</f>
        <v>L</v>
      </c>
      <c r="K36" s="4">
        <f>INDEX(products!$A$1:$G$49,MATCH(orders!$D36, products!$A$1:$A$49,0), MATCH(orders!K$1,products!$A$1:$G$1,0))</f>
        <v>0.5</v>
      </c>
      <c r="L36" s="5">
        <f>INDEX(products!$A$1:$G$49,MATCH(orders!$D36, products!$A$1:$A$49,0), MATCH(orders!L$1,products!$A$1:$G$1,0))</f>
        <v>9.51</v>
      </c>
      <c r="M36" s="5">
        <f t="shared" si="0"/>
        <v>57.06</v>
      </c>
      <c r="N36" t="str">
        <f t="shared" si="1"/>
        <v>Liberica</v>
      </c>
      <c r="O36" t="str">
        <f t="shared" si="2"/>
        <v>Light</v>
      </c>
      <c r="P36" t="str">
        <f>_xlfn.XLOOKUP(Table1[[#This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IF(_xlfn.XLOOKUP(C37,customers!$A$1:$A$1001,customers!C36:C1036,,0)=0,"",_xlfn.XLOOKUP(C37,customers!$A$1:$A$1001,customers!C36:C1036,,0))</f>
        <v>slist1y@mapquest.com</v>
      </c>
      <c r="H37" s="2" t="str">
        <f>_xlfn.XLOOKUP(orders!C37,customers!$A$1:$A$1001,customers!$G$1:$G$1001,,0)</f>
        <v>United States</v>
      </c>
      <c r="I37" t="str">
        <f>INDEX(products!$A$1:$G$49,MATCH(orders!$D37, products!$A$1:$A$49,0), MATCH(orders!I$1,products!$A$1:$G$1,0))</f>
        <v>Ara</v>
      </c>
      <c r="J37" t="str">
        <f>INDEX(products!$A$1:$G$49,MATCH(orders!$D37, products!$A$1:$A$49,0), MATCH(orders!J$1,products!$A$1:$G$1,0))</f>
        <v>D</v>
      </c>
      <c r="K37" s="4">
        <f>INDEX(products!$A$1:$G$49,MATCH(orders!$D37, products!$A$1:$A$49,0), MATCH(orders!K$1,products!$A$1:$G$1,0))</f>
        <v>0.5</v>
      </c>
      <c r="L37" s="5">
        <f>INDEX(products!$A$1:$G$49,MATCH(orders!$D37, products!$A$1:$A$49,0), MATCH(orders!L$1,products!$A$1:$G$1,0))</f>
        <v>5.97</v>
      </c>
      <c r="M37" s="5">
        <f t="shared" si="0"/>
        <v>35.82</v>
      </c>
      <c r="N37" t="str">
        <f t="shared" si="1"/>
        <v>Arabica</v>
      </c>
      <c r="O37" t="str">
        <f t="shared" si="2"/>
        <v>Dark</v>
      </c>
      <c r="P37" t="str">
        <f>_xlfn.XLOOKUP(Table1[[#This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IF(_xlfn.XLOOKUP(C38,customers!$A$1:$A$1001,customers!C37:C1037,,0)=0,"",_xlfn.XLOOKUP(C38,customers!$A$1:$A$1001,customers!C37:C1037,,0))</f>
        <v/>
      </c>
      <c r="H38" s="2" t="str">
        <f>_xlfn.XLOOKUP(orders!C38,customers!$A$1:$A$1001,customers!$G$1:$G$1001,,0)</f>
        <v>United States</v>
      </c>
      <c r="I38" t="str">
        <f>INDEX(products!$A$1:$G$49,MATCH(orders!$D38, products!$A$1:$A$49,0), MATCH(orders!I$1,products!$A$1:$G$1,0))</f>
        <v>Lib</v>
      </c>
      <c r="J38" t="str">
        <f>INDEX(products!$A$1:$G$49,MATCH(orders!$D38, products!$A$1:$A$49,0), MATCH(orders!J$1,products!$A$1:$G$1,0))</f>
        <v>M</v>
      </c>
      <c r="K38" s="4">
        <f>INDEX(products!$A$1:$G$49,MATCH(orders!$D38, products!$A$1:$A$49,0), MATCH(orders!K$1,products!$A$1:$G$1,0))</f>
        <v>0.2</v>
      </c>
      <c r="L38" s="5">
        <f>INDEX(products!$A$1:$G$49,MATCH(orders!$D38, products!$A$1:$A$49,0), MATCH(orders!L$1,products!$A$1:$G$1,0))</f>
        <v>4.3650000000000002</v>
      </c>
      <c r="M38" s="5">
        <f t="shared" si="0"/>
        <v>8.73</v>
      </c>
      <c r="N38" t="str">
        <f t="shared" si="1"/>
        <v>Liberica</v>
      </c>
      <c r="O38" t="str">
        <f t="shared" si="2"/>
        <v>Medium</v>
      </c>
      <c r="P38" t="str">
        <f>_xlfn.XLOOKUP(Table1[[#This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IF(_xlfn.XLOOKUP(C39,customers!$A$1:$A$1001,customers!C38:C1038,,0)=0,"",_xlfn.XLOOKUP(C39,customers!$A$1:$A$1001,customers!C38:C1038,,0))</f>
        <v>jrangall22@newsvine.com</v>
      </c>
      <c r="H39" s="2" t="str">
        <f>_xlfn.XLOOKUP(orders!C39,customers!$A$1:$A$1001,customers!$G$1:$G$1001,,0)</f>
        <v>United States</v>
      </c>
      <c r="I39" t="str">
        <f>INDEX(products!$A$1:$G$49,MATCH(orders!$D39, products!$A$1:$A$49,0), MATCH(orders!I$1,products!$A$1:$G$1,0))</f>
        <v>Lib</v>
      </c>
      <c r="J39" t="str">
        <f>INDEX(products!$A$1:$G$49,MATCH(orders!$D39, products!$A$1:$A$49,0), MATCH(orders!J$1,products!$A$1:$G$1,0))</f>
        <v>L</v>
      </c>
      <c r="K39" s="4">
        <f>INDEX(products!$A$1:$G$49,MATCH(orders!$D39, products!$A$1:$A$49,0), MATCH(orders!K$1,products!$A$1:$G$1,0))</f>
        <v>0.5</v>
      </c>
      <c r="L39" s="5">
        <f>INDEX(products!$A$1:$G$49,MATCH(orders!$D39, products!$A$1:$A$49,0), MATCH(orders!L$1,products!$A$1:$G$1,0))</f>
        <v>9.51</v>
      </c>
      <c r="M39" s="5">
        <f t="shared" si="0"/>
        <v>28.53</v>
      </c>
      <c r="N39" t="str">
        <f t="shared" si="1"/>
        <v>Liberica</v>
      </c>
      <c r="O39" t="str">
        <f t="shared" si="2"/>
        <v>Light</v>
      </c>
      <c r="P39" t="str">
        <f>_xlfn.XLOOKUP(Table1[[#This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IF(_xlfn.XLOOKUP(C40,customers!$A$1:$A$1001,customers!C39:C1039,,0)=0,"",_xlfn.XLOOKUP(C40,customers!$A$1:$A$1001,customers!C39:C1039,,0))</f>
        <v/>
      </c>
      <c r="H40" s="2" t="str">
        <f>_xlfn.XLOOKUP(orders!C40,customers!$A$1:$A$1001,customers!$G$1:$G$1001,,0)</f>
        <v>United States</v>
      </c>
      <c r="I40" t="str">
        <f>INDEX(products!$A$1:$G$49,MATCH(orders!$D40, products!$A$1:$A$49,0), MATCH(orders!I$1,products!$A$1:$G$1,0))</f>
        <v>Rob</v>
      </c>
      <c r="J40" t="str">
        <f>INDEX(products!$A$1:$G$49,MATCH(orders!$D40, products!$A$1:$A$49,0), MATCH(orders!J$1,products!$A$1:$G$1,0))</f>
        <v>M</v>
      </c>
      <c r="K40" s="4">
        <f>INDEX(products!$A$1:$G$49,MATCH(orders!$D40, products!$A$1:$A$49,0), MATCH(orders!K$1,products!$A$1:$G$1,0))</f>
        <v>2.5</v>
      </c>
      <c r="L40" s="5">
        <f>INDEX(products!$A$1:$G$49,MATCH(orders!$D40, products!$A$1:$A$49,0), MATCH(orders!L$1,products!$A$1:$G$1,0))</f>
        <v>22.884999999999998</v>
      </c>
      <c r="M40" s="5">
        <f t="shared" si="0"/>
        <v>114.42499999999998</v>
      </c>
      <c r="N40" t="str">
        <f t="shared" si="1"/>
        <v>Robusta</v>
      </c>
      <c r="O40" t="str">
        <f t="shared" si="2"/>
        <v>Medium</v>
      </c>
      <c r="P40" t="str">
        <f>_xlfn.XLOOKUP(Table1[[#This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IF(_xlfn.XLOOKUP(C41,customers!$A$1:$A$1001,customers!C40:C1040,,0)=0,"",_xlfn.XLOOKUP(C41,customers!$A$1:$A$1001,customers!C40:C1040,,0))</f>
        <v>lmizzi26@rakuten.co.jp</v>
      </c>
      <c r="H41" s="2" t="str">
        <f>_xlfn.XLOOKUP(orders!C41,customers!$A$1:$A$1001,customers!$G$1:$G$1001,,0)</f>
        <v>United States</v>
      </c>
      <c r="I41" t="str">
        <f>INDEX(products!$A$1:$G$49,MATCH(orders!$D41, products!$A$1:$A$49,0), MATCH(orders!I$1,products!$A$1:$G$1,0))</f>
        <v>Rob</v>
      </c>
      <c r="J41" t="str">
        <f>INDEX(products!$A$1:$G$49,MATCH(orders!$D41, products!$A$1:$A$49,0), MATCH(orders!J$1,products!$A$1:$G$1,0))</f>
        <v>M</v>
      </c>
      <c r="K41" s="4">
        <f>INDEX(products!$A$1:$G$49,MATCH(orders!$D41, products!$A$1:$A$49,0), MATCH(orders!K$1,products!$A$1:$G$1,0))</f>
        <v>1</v>
      </c>
      <c r="L41" s="5">
        <f>INDEX(products!$A$1:$G$49,MATCH(orders!$D41, products!$A$1:$A$49,0), MATCH(orders!L$1,products!$A$1:$G$1,0))</f>
        <v>9.9499999999999993</v>
      </c>
      <c r="M41" s="5">
        <f t="shared" si="0"/>
        <v>59.699999999999996</v>
      </c>
      <c r="N41" t="str">
        <f t="shared" si="1"/>
        <v>Robusta</v>
      </c>
      <c r="O41" t="str">
        <f t="shared" si="2"/>
        <v>Medium</v>
      </c>
      <c r="P41" t="str">
        <f>_xlfn.XLOOKUP(Table1[[#This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IF(_xlfn.XLOOKUP(C42,customers!$A$1:$A$1001,customers!C41:C1041,,0)=0,"",_xlfn.XLOOKUP(C42,customers!$A$1:$A$1001,customers!C41:C1041,,0))</f>
        <v>aarnow28@arizona.edu</v>
      </c>
      <c r="H42" s="2" t="str">
        <f>_xlfn.XLOOKUP(orders!C42,customers!$A$1:$A$1001,customers!$G$1:$G$1001,,0)</f>
        <v>United States</v>
      </c>
      <c r="I42" t="str">
        <f>INDEX(products!$A$1:$G$49,MATCH(orders!$D42, products!$A$1:$A$49,0), MATCH(orders!I$1,products!$A$1:$G$1,0))</f>
        <v>Lib</v>
      </c>
      <c r="J42" t="str">
        <f>INDEX(products!$A$1:$G$49,MATCH(orders!$D42, products!$A$1:$A$49,0), MATCH(orders!J$1,products!$A$1:$G$1,0))</f>
        <v>M</v>
      </c>
      <c r="K42" s="4">
        <f>INDEX(products!$A$1:$G$49,MATCH(orders!$D42, products!$A$1:$A$49,0), MATCH(orders!K$1,products!$A$1:$G$1,0))</f>
        <v>1</v>
      </c>
      <c r="L42" s="5">
        <f>INDEX(products!$A$1:$G$49,MATCH(orders!$D42, products!$A$1:$A$49,0), MATCH(orders!L$1,products!$A$1:$G$1,0))</f>
        <v>14.55</v>
      </c>
      <c r="M42" s="5">
        <f t="shared" si="0"/>
        <v>43.650000000000006</v>
      </c>
      <c r="N42" t="str">
        <f t="shared" si="1"/>
        <v>Liberica</v>
      </c>
      <c r="O42" t="str">
        <f t="shared" si="2"/>
        <v>Medium</v>
      </c>
      <c r="P42" t="str">
        <f>_xlfn.XLOOKUP(Table1[[#This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IF(_xlfn.XLOOKUP(C43,customers!$A$1:$A$1001,customers!C42:C1042,,0)=0,"",_xlfn.XLOOKUP(C43,customers!$A$1:$A$1001,customers!C42:C1042,,0))</f>
        <v>bnaulls2a@tiny.cc</v>
      </c>
      <c r="H43" s="2" t="str">
        <f>_xlfn.XLOOKUP(orders!C43,customers!$A$1:$A$1001,customers!$G$1:$G$1001,,0)</f>
        <v>United States</v>
      </c>
      <c r="I43" t="str">
        <f>INDEX(products!$A$1:$G$49,MATCH(orders!$D43, products!$A$1:$A$49,0), MATCH(orders!I$1,products!$A$1:$G$1,0))</f>
        <v>Exc</v>
      </c>
      <c r="J43" t="str">
        <f>INDEX(products!$A$1:$G$49,MATCH(orders!$D43, products!$A$1:$A$49,0), MATCH(orders!J$1,products!$A$1:$G$1,0))</f>
        <v>D</v>
      </c>
      <c r="K43" s="4">
        <f>INDEX(products!$A$1:$G$49,MATCH(orders!$D43, products!$A$1:$A$49,0), MATCH(orders!K$1,products!$A$1:$G$1,0))</f>
        <v>0.2</v>
      </c>
      <c r="L43" s="5">
        <f>INDEX(products!$A$1:$G$49,MATCH(orders!$D43, products!$A$1:$A$49,0), MATCH(orders!L$1,products!$A$1:$G$1,0))</f>
        <v>3.645</v>
      </c>
      <c r="M43" s="5">
        <f t="shared" si="0"/>
        <v>7.29</v>
      </c>
      <c r="N43" t="str">
        <f t="shared" si="1"/>
        <v>Excelsa</v>
      </c>
      <c r="O43" t="str">
        <f t="shared" si="2"/>
        <v>Dark</v>
      </c>
      <c r="P43" t="str">
        <f>_xlfn.XLOOKUP(Table1[[#This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IF(_xlfn.XLOOKUP(C44,customers!$A$1:$A$1001,customers!C43:C1043,,0)=0,"",_xlfn.XLOOKUP(C44,customers!$A$1:$A$1001,customers!C43:C1043,,0))</f>
        <v>zsherewood2c@apache.org</v>
      </c>
      <c r="H44" s="2" t="str">
        <f>_xlfn.XLOOKUP(orders!C44,customers!$A$1:$A$1001,customers!$G$1:$G$1001,,0)</f>
        <v>United States</v>
      </c>
      <c r="I44" t="str">
        <f>INDEX(products!$A$1:$G$49,MATCH(orders!$D44, products!$A$1:$A$49,0), MATCH(orders!I$1,products!$A$1:$G$1,0))</f>
        <v>Rob</v>
      </c>
      <c r="J44" t="str">
        <f>INDEX(products!$A$1:$G$49,MATCH(orders!$D44, products!$A$1:$A$49,0), MATCH(orders!J$1,products!$A$1:$G$1,0))</f>
        <v>D</v>
      </c>
      <c r="K44" s="4">
        <f>INDEX(products!$A$1:$G$49,MATCH(orders!$D44, products!$A$1:$A$49,0), MATCH(orders!K$1,products!$A$1:$G$1,0))</f>
        <v>0.2</v>
      </c>
      <c r="L44" s="5">
        <f>INDEX(products!$A$1:$G$49,MATCH(orders!$D44, products!$A$1:$A$49,0), MATCH(orders!L$1,products!$A$1:$G$1,0))</f>
        <v>2.6849999999999996</v>
      </c>
      <c r="M44" s="5">
        <f t="shared" si="0"/>
        <v>8.0549999999999997</v>
      </c>
      <c r="N44" t="str">
        <f t="shared" si="1"/>
        <v>Robusta</v>
      </c>
      <c r="O44" t="str">
        <f t="shared" si="2"/>
        <v>Dark</v>
      </c>
      <c r="P44" t="str">
        <f>_xlfn.XLOOKUP(Table1[[#This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IF(_xlfn.XLOOKUP(C45,customers!$A$1:$A$1001,customers!C44:C1044,,0)=0,"",_xlfn.XLOOKUP(C45,customers!$A$1:$A$1001,customers!C44:C1044,,0))</f>
        <v>bmcamish2e@tripadvisor.com</v>
      </c>
      <c r="H45" s="2" t="str">
        <f>_xlfn.XLOOKUP(orders!C45,customers!$A$1:$A$1001,customers!$G$1:$G$1001,,0)</f>
        <v>United States</v>
      </c>
      <c r="I45" t="str">
        <f>INDEX(products!$A$1:$G$49,MATCH(orders!$D45, products!$A$1:$A$49,0), MATCH(orders!I$1,products!$A$1:$G$1,0))</f>
        <v>Lib</v>
      </c>
      <c r="J45" t="str">
        <f>INDEX(products!$A$1:$G$49,MATCH(orders!$D45, products!$A$1:$A$49,0), MATCH(orders!J$1,products!$A$1:$G$1,0))</f>
        <v>L</v>
      </c>
      <c r="K45" s="4">
        <f>INDEX(products!$A$1:$G$49,MATCH(orders!$D45, products!$A$1:$A$49,0), MATCH(orders!K$1,products!$A$1:$G$1,0))</f>
        <v>2.5</v>
      </c>
      <c r="L45" s="5">
        <f>INDEX(products!$A$1:$G$49,MATCH(orders!$D45, products!$A$1:$A$49,0), MATCH(orders!L$1,products!$A$1:$G$1,0))</f>
        <v>36.454999999999998</v>
      </c>
      <c r="M45" s="5">
        <f t="shared" si="0"/>
        <v>72.91</v>
      </c>
      <c r="N45" t="str">
        <f t="shared" si="1"/>
        <v>Liberica</v>
      </c>
      <c r="O45" t="str">
        <f t="shared" si="2"/>
        <v>Light</v>
      </c>
      <c r="P45" t="str">
        <f>_xlfn.XLOOKUP(Table1[[#This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IF(_xlfn.XLOOKUP(C46,customers!$A$1:$A$1001,customers!C45:C1045,,0)=0,"",_xlfn.XLOOKUP(C46,customers!$A$1:$A$1001,customers!C45:C1045,,0))</f>
        <v>egrise2g@cargocollective.com</v>
      </c>
      <c r="H46" s="2" t="str">
        <f>_xlfn.XLOOKUP(orders!C46,customers!$A$1:$A$1001,customers!$G$1:$G$1001,,0)</f>
        <v>United States</v>
      </c>
      <c r="I46" t="str">
        <f>INDEX(products!$A$1:$G$49,MATCH(orders!$D46, products!$A$1:$A$49,0), MATCH(orders!I$1,products!$A$1:$G$1,0))</f>
        <v>Exc</v>
      </c>
      <c r="J46" t="str">
        <f>INDEX(products!$A$1:$G$49,MATCH(orders!$D46, products!$A$1:$A$49,0), MATCH(orders!J$1,products!$A$1:$G$1,0))</f>
        <v>M</v>
      </c>
      <c r="K46" s="4">
        <f>INDEX(products!$A$1:$G$49,MATCH(orders!$D46, products!$A$1:$A$49,0), MATCH(orders!K$1,products!$A$1:$G$1,0))</f>
        <v>0.5</v>
      </c>
      <c r="L46" s="5">
        <f>INDEX(products!$A$1:$G$49,MATCH(orders!$D46, products!$A$1:$A$49,0), MATCH(orders!L$1,products!$A$1:$G$1,0))</f>
        <v>8.25</v>
      </c>
      <c r="M46" s="5">
        <f t="shared" si="0"/>
        <v>16.5</v>
      </c>
      <c r="N46" t="str">
        <f t="shared" si="1"/>
        <v>Excelsa</v>
      </c>
      <c r="O46" t="str">
        <f t="shared" si="2"/>
        <v>Medium</v>
      </c>
      <c r="P46" t="str">
        <f>_xlfn.XLOOKUP(Table1[[#This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IF(_xlfn.XLOOKUP(C47,customers!$A$1:$A$1001,customers!C46:C1046,,0)=0,"",_xlfn.XLOOKUP(C47,customers!$A$1:$A$1001,customers!C46:C1046,,0))</f>
        <v/>
      </c>
      <c r="H47" s="2" t="str">
        <f>_xlfn.XLOOKUP(orders!C47,customers!$A$1:$A$1001,customers!$G$1:$G$1001,,0)</f>
        <v>United States</v>
      </c>
      <c r="I47" t="str">
        <f>INDEX(products!$A$1:$G$49,MATCH(orders!$D47, products!$A$1:$A$49,0), MATCH(orders!I$1,products!$A$1:$G$1,0))</f>
        <v>Lib</v>
      </c>
      <c r="J47" t="str">
        <f>INDEX(products!$A$1:$G$49,MATCH(orders!$D47, products!$A$1:$A$49,0), MATCH(orders!J$1,products!$A$1:$G$1,0))</f>
        <v>D</v>
      </c>
      <c r="K47" s="4">
        <f>INDEX(products!$A$1:$G$49,MATCH(orders!$D47, products!$A$1:$A$49,0), MATCH(orders!K$1,products!$A$1:$G$1,0))</f>
        <v>2.5</v>
      </c>
      <c r="L47" s="5">
        <f>INDEX(products!$A$1:$G$49,MATCH(orders!$D47, products!$A$1:$A$49,0), MATCH(orders!L$1,products!$A$1:$G$1,0))</f>
        <v>29.784999999999997</v>
      </c>
      <c r="M47" s="5">
        <f t="shared" si="0"/>
        <v>178.70999999999998</v>
      </c>
      <c r="N47" t="str">
        <f t="shared" si="1"/>
        <v>Liberica</v>
      </c>
      <c r="O47" t="str">
        <f t="shared" si="2"/>
        <v>Dark</v>
      </c>
      <c r="P47" t="str">
        <f>_xlfn.XLOOKUP(Table1[[#This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IF(_xlfn.XLOOKUP(C48,customers!$A$1:$A$1001,customers!C47:C1047,,0)=0,"",_xlfn.XLOOKUP(C48,customers!$A$1:$A$1001,customers!C47:C1047,,0))</f>
        <v/>
      </c>
      <c r="H48" s="2" t="str">
        <f>_xlfn.XLOOKUP(orders!C48,customers!$A$1:$A$1001,customers!$G$1:$G$1001,,0)</f>
        <v>United States</v>
      </c>
      <c r="I48" t="str">
        <f>INDEX(products!$A$1:$G$49,MATCH(orders!$D48, products!$A$1:$A$49,0), MATCH(orders!I$1,products!$A$1:$G$1,0))</f>
        <v>Exc</v>
      </c>
      <c r="J48" t="str">
        <f>INDEX(products!$A$1:$G$49,MATCH(orders!$D48, products!$A$1:$A$49,0), MATCH(orders!J$1,products!$A$1:$G$1,0))</f>
        <v>M</v>
      </c>
      <c r="K48" s="4">
        <f>INDEX(products!$A$1:$G$49,MATCH(orders!$D48, products!$A$1:$A$49,0), MATCH(orders!K$1,products!$A$1:$G$1,0))</f>
        <v>2.5</v>
      </c>
      <c r="L48" s="5">
        <f>INDEX(products!$A$1:$G$49,MATCH(orders!$D48, products!$A$1:$A$49,0), MATCH(orders!L$1,products!$A$1:$G$1,0))</f>
        <v>31.624999999999996</v>
      </c>
      <c r="M48" s="5">
        <f t="shared" si="0"/>
        <v>63.249999999999993</v>
      </c>
      <c r="N48" t="str">
        <f t="shared" si="1"/>
        <v>Excelsa</v>
      </c>
      <c r="O48" t="str">
        <f t="shared" si="2"/>
        <v>Medium</v>
      </c>
      <c r="P48" t="str">
        <f>_xlfn.XLOOKUP(Table1[[#This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IF(_xlfn.XLOOKUP(C49,customers!$A$1:$A$1001,customers!C48:C1048,,0)=0,"",_xlfn.XLOOKUP(C49,customers!$A$1:$A$1001,customers!C48:C1048,,0))</f>
        <v/>
      </c>
      <c r="H49" s="2" t="str">
        <f>_xlfn.XLOOKUP(orders!C49,customers!$A$1:$A$1001,customers!$G$1:$G$1001,,0)</f>
        <v>United States</v>
      </c>
      <c r="I49" t="str">
        <f>INDEX(products!$A$1:$G$49,MATCH(orders!$D49, products!$A$1:$A$49,0), MATCH(orders!I$1,products!$A$1:$G$1,0))</f>
        <v>Ara</v>
      </c>
      <c r="J49" t="str">
        <f>INDEX(products!$A$1:$G$49,MATCH(orders!$D49, products!$A$1:$A$49,0), MATCH(orders!J$1,products!$A$1:$G$1,0))</f>
        <v>L</v>
      </c>
      <c r="K49" s="4">
        <f>INDEX(products!$A$1:$G$49,MATCH(orders!$D49, products!$A$1:$A$49,0), MATCH(orders!K$1,products!$A$1:$G$1,0))</f>
        <v>0.2</v>
      </c>
      <c r="L49" s="5">
        <f>INDEX(products!$A$1:$G$49,MATCH(orders!$D49, products!$A$1:$A$49,0), MATCH(orders!L$1,products!$A$1:$G$1,0))</f>
        <v>3.8849999999999998</v>
      </c>
      <c r="M49" s="5">
        <f t="shared" si="0"/>
        <v>7.77</v>
      </c>
      <c r="N49" t="str">
        <f t="shared" si="1"/>
        <v>Arabica</v>
      </c>
      <c r="O49" t="str">
        <f t="shared" si="2"/>
        <v>Light</v>
      </c>
      <c r="P49" t="str">
        <f>_xlfn.XLOOKUP(Table1[[#This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IF(_xlfn.XLOOKUP(C50,customers!$A$1:$A$1001,customers!C49:C1049,,0)=0,"",_xlfn.XLOOKUP(C50,customers!$A$1:$A$1001,customers!C49:C1049,,0))</f>
        <v>vkirdsch2o@google.fr</v>
      </c>
      <c r="H50" s="2" t="str">
        <f>_xlfn.XLOOKUP(orders!C50,customers!$A$1:$A$1001,customers!$G$1:$G$1001,,0)</f>
        <v>United States</v>
      </c>
      <c r="I50" t="str">
        <f>INDEX(products!$A$1:$G$49,MATCH(orders!$D50, products!$A$1:$A$49,0), MATCH(orders!I$1,products!$A$1:$G$1,0))</f>
        <v>Ara</v>
      </c>
      <c r="J50" t="str">
        <f>INDEX(products!$A$1:$G$49,MATCH(orders!$D50, products!$A$1:$A$49,0), MATCH(orders!J$1,products!$A$1:$G$1,0))</f>
        <v>D</v>
      </c>
      <c r="K50" s="4">
        <f>INDEX(products!$A$1:$G$49,MATCH(orders!$D50, products!$A$1:$A$49,0), MATCH(orders!K$1,products!$A$1:$G$1,0))</f>
        <v>2.5</v>
      </c>
      <c r="L50" s="5">
        <f>INDEX(products!$A$1:$G$49,MATCH(orders!$D50, products!$A$1:$A$49,0), MATCH(orders!L$1,products!$A$1:$G$1,0))</f>
        <v>22.884999999999998</v>
      </c>
      <c r="M50" s="5">
        <f t="shared" si="0"/>
        <v>91.539999999999992</v>
      </c>
      <c r="N50" t="str">
        <f t="shared" si="1"/>
        <v>Arabica</v>
      </c>
      <c r="O50" t="str">
        <f t="shared" si="2"/>
        <v>Dark</v>
      </c>
      <c r="P50" t="str">
        <f>_xlfn.XLOOKUP(Table1[[#This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IF(_xlfn.XLOOKUP(C51,customers!$A$1:$A$1001,customers!C50:C1050,,0)=0,"",_xlfn.XLOOKUP(C51,customers!$A$1:$A$1001,customers!C50:C1050,,0))</f>
        <v/>
      </c>
      <c r="H51" s="2" t="str">
        <f>_xlfn.XLOOKUP(orders!C51,customers!$A$1:$A$1001,customers!$G$1:$G$1001,,0)</f>
        <v>United States</v>
      </c>
      <c r="I51" t="str">
        <f>INDEX(products!$A$1:$G$49,MATCH(orders!$D51, products!$A$1:$A$49,0), MATCH(orders!I$1,products!$A$1:$G$1,0))</f>
        <v>Ara</v>
      </c>
      <c r="J51" t="str">
        <f>INDEX(products!$A$1:$G$49,MATCH(orders!$D51, products!$A$1:$A$49,0), MATCH(orders!J$1,products!$A$1:$G$1,0))</f>
        <v>L</v>
      </c>
      <c r="K51" s="4">
        <f>INDEX(products!$A$1:$G$49,MATCH(orders!$D51, products!$A$1:$A$49,0), MATCH(orders!K$1,products!$A$1:$G$1,0))</f>
        <v>1</v>
      </c>
      <c r="L51" s="5">
        <f>INDEX(products!$A$1:$G$49,MATCH(orders!$D51, products!$A$1:$A$49,0), MATCH(orders!L$1,products!$A$1:$G$1,0))</f>
        <v>12.95</v>
      </c>
      <c r="M51" s="5">
        <f t="shared" si="0"/>
        <v>38.849999999999994</v>
      </c>
      <c r="N51" t="str">
        <f t="shared" si="1"/>
        <v>Arabica</v>
      </c>
      <c r="O51" t="str">
        <f t="shared" si="2"/>
        <v>Light</v>
      </c>
      <c r="P51" t="str">
        <f>_xlfn.XLOOKUP(Table1[[#This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IF(_xlfn.XLOOKUP(C52,customers!$A$1:$A$1001,customers!C51:C1051,,0)=0,"",_xlfn.XLOOKUP(C52,customers!$A$1:$A$1001,customers!C51:C1051,,0))</f>
        <v/>
      </c>
      <c r="H52" s="2" t="str">
        <f>_xlfn.XLOOKUP(orders!C52,customers!$A$1:$A$1001,customers!$G$1:$G$1001,,0)</f>
        <v>United States</v>
      </c>
      <c r="I52" t="str">
        <f>INDEX(products!$A$1:$G$49,MATCH(orders!$D52, products!$A$1:$A$49,0), MATCH(orders!I$1,products!$A$1:$G$1,0))</f>
        <v>Lib</v>
      </c>
      <c r="J52" t="str">
        <f>INDEX(products!$A$1:$G$49,MATCH(orders!$D52, products!$A$1:$A$49,0), MATCH(orders!J$1,products!$A$1:$G$1,0))</f>
        <v>D</v>
      </c>
      <c r="K52" s="4">
        <f>INDEX(products!$A$1:$G$49,MATCH(orders!$D52, products!$A$1:$A$49,0), MATCH(orders!K$1,products!$A$1:$G$1,0))</f>
        <v>0.5</v>
      </c>
      <c r="L52" s="5">
        <f>INDEX(products!$A$1:$G$49,MATCH(orders!$D52, products!$A$1:$A$49,0), MATCH(orders!L$1,products!$A$1:$G$1,0))</f>
        <v>7.77</v>
      </c>
      <c r="M52" s="5">
        <f t="shared" si="0"/>
        <v>15.54</v>
      </c>
      <c r="N52" t="str">
        <f t="shared" si="1"/>
        <v>Liberica</v>
      </c>
      <c r="O52" t="str">
        <f t="shared" si="2"/>
        <v>Dark</v>
      </c>
      <c r="P52" t="str">
        <f>_xlfn.XLOOKUP(Table1[[#This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IF(_xlfn.XLOOKUP(C53,customers!$A$1:$A$1001,customers!C52:C1052,,0)=0,"",_xlfn.XLOOKUP(C53,customers!$A$1:$A$1001,customers!C52:C1052,,0))</f>
        <v>daizikovitz2u@answers.com</v>
      </c>
      <c r="H53" s="2" t="str">
        <f>_xlfn.XLOOKUP(orders!C53,customers!$A$1:$A$1001,customers!$G$1:$G$1001,,0)</f>
        <v>Ireland</v>
      </c>
      <c r="I53" t="str">
        <f>INDEX(products!$A$1:$G$49,MATCH(orders!$D53, products!$A$1:$A$49,0), MATCH(orders!I$1,products!$A$1:$G$1,0))</f>
        <v>Lib</v>
      </c>
      <c r="J53" t="str">
        <f>INDEX(products!$A$1:$G$49,MATCH(orders!$D53, products!$A$1:$A$49,0), MATCH(orders!J$1,products!$A$1:$G$1,0))</f>
        <v>L</v>
      </c>
      <c r="K53" s="4">
        <f>INDEX(products!$A$1:$G$49,MATCH(orders!$D53, products!$A$1:$A$49,0), MATCH(orders!K$1,products!$A$1:$G$1,0))</f>
        <v>2.5</v>
      </c>
      <c r="L53" s="5">
        <f>INDEX(products!$A$1:$G$49,MATCH(orders!$D53, products!$A$1:$A$49,0), MATCH(orders!L$1,products!$A$1:$G$1,0))</f>
        <v>36.454999999999998</v>
      </c>
      <c r="M53" s="5">
        <f t="shared" si="0"/>
        <v>145.82</v>
      </c>
      <c r="N53" t="str">
        <f t="shared" si="1"/>
        <v>Liberica</v>
      </c>
      <c r="O53" t="str">
        <f t="shared" si="2"/>
        <v>Light</v>
      </c>
      <c r="P53" t="str">
        <f>_xlfn.XLOOKUP(Table1[[#This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IF(_xlfn.XLOOKUP(C54,customers!$A$1:$A$1001,customers!C53:C1053,,0)=0,"",_xlfn.XLOOKUP(C54,customers!$A$1:$A$1001,customers!C53:C1053,,0))</f>
        <v>epriddis2w@nationalgeographic.com</v>
      </c>
      <c r="H54" s="2" t="str">
        <f>_xlfn.XLOOKUP(orders!C54,customers!$A$1:$A$1001,customers!$G$1:$G$1001,,0)</f>
        <v>United Kingdom</v>
      </c>
      <c r="I54" t="str">
        <f>INDEX(products!$A$1:$G$49,MATCH(orders!$D54, products!$A$1:$A$49,0), MATCH(orders!I$1,products!$A$1:$G$1,0))</f>
        <v>Rob</v>
      </c>
      <c r="J54" t="str">
        <f>INDEX(products!$A$1:$G$49,MATCH(orders!$D54, products!$A$1:$A$49,0), MATCH(orders!J$1,products!$A$1:$G$1,0))</f>
        <v>M</v>
      </c>
      <c r="K54" s="4">
        <f>INDEX(products!$A$1:$G$49,MATCH(orders!$D54, products!$A$1:$A$49,0), MATCH(orders!K$1,products!$A$1:$G$1,0))</f>
        <v>0.5</v>
      </c>
      <c r="L54" s="5">
        <f>INDEX(products!$A$1:$G$49,MATCH(orders!$D54, products!$A$1:$A$49,0), MATCH(orders!L$1,products!$A$1:$G$1,0))</f>
        <v>5.97</v>
      </c>
      <c r="M54" s="5">
        <f t="shared" si="0"/>
        <v>29.849999999999998</v>
      </c>
      <c r="N54" t="str">
        <f t="shared" si="1"/>
        <v>Robusta</v>
      </c>
      <c r="O54" t="str">
        <f t="shared" si="2"/>
        <v>Medium</v>
      </c>
      <c r="P54" t="str">
        <f>_xlfn.XLOOKUP(Table1[[#This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IF(_xlfn.XLOOKUP(C55,customers!$A$1:$A$1001,customers!C54:C1054,,0)=0,"",_xlfn.XLOOKUP(C55,customers!$A$1:$A$1001,customers!C54:C1054,,0))</f>
        <v>qveel2x@jugem.jp</v>
      </c>
      <c r="H55" s="2" t="str">
        <f>_xlfn.XLOOKUP(orders!C55,customers!$A$1:$A$1001,customers!$G$1:$G$1001,,0)</f>
        <v>United Kingdom</v>
      </c>
      <c r="I55" t="str">
        <f>INDEX(products!$A$1:$G$49,MATCH(orders!$D55, products!$A$1:$A$49,0), MATCH(orders!I$1,products!$A$1:$G$1,0))</f>
        <v>Lib</v>
      </c>
      <c r="J55" t="str">
        <f>INDEX(products!$A$1:$G$49,MATCH(orders!$D55, products!$A$1:$A$49,0), MATCH(orders!J$1,products!$A$1:$G$1,0))</f>
        <v>L</v>
      </c>
      <c r="K55" s="4">
        <f>INDEX(products!$A$1:$G$49,MATCH(orders!$D55, products!$A$1:$A$49,0), MATCH(orders!K$1,products!$A$1:$G$1,0))</f>
        <v>2.5</v>
      </c>
      <c r="L55" s="5">
        <f>INDEX(products!$A$1:$G$49,MATCH(orders!$D55, products!$A$1:$A$49,0), MATCH(orders!L$1,products!$A$1:$G$1,0))</f>
        <v>36.454999999999998</v>
      </c>
      <c r="M55" s="5">
        <f t="shared" si="0"/>
        <v>72.91</v>
      </c>
      <c r="N55" t="str">
        <f t="shared" si="1"/>
        <v>Liberica</v>
      </c>
      <c r="O55" t="str">
        <f t="shared" si="2"/>
        <v>Light</v>
      </c>
      <c r="P55" t="str">
        <f>_xlfn.XLOOKUP(Table1[[#This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IF(_xlfn.XLOOKUP(C56,customers!$A$1:$A$1001,customers!C55:C1055,,0)=0,"",_xlfn.XLOOKUP(C56,customers!$A$1:$A$1001,customers!C55:C1055,,0))</f>
        <v/>
      </c>
      <c r="H56" s="2" t="str">
        <f>_xlfn.XLOOKUP(orders!C56,customers!$A$1:$A$1001,customers!$G$1:$G$1001,,0)</f>
        <v>United States</v>
      </c>
      <c r="I56" t="str">
        <f>INDEX(products!$A$1:$G$49,MATCH(orders!$D56, products!$A$1:$A$49,0), MATCH(orders!I$1,products!$A$1:$G$1,0))</f>
        <v>Lib</v>
      </c>
      <c r="J56" t="str">
        <f>INDEX(products!$A$1:$G$49,MATCH(orders!$D56, products!$A$1:$A$49,0), MATCH(orders!J$1,products!$A$1:$G$1,0))</f>
        <v>M</v>
      </c>
      <c r="K56" s="4">
        <f>INDEX(products!$A$1:$G$49,MATCH(orders!$D56, products!$A$1:$A$49,0), MATCH(orders!K$1,products!$A$1:$G$1,0))</f>
        <v>1</v>
      </c>
      <c r="L56" s="5">
        <f>INDEX(products!$A$1:$G$49,MATCH(orders!$D56, products!$A$1:$A$49,0), MATCH(orders!L$1,products!$A$1:$G$1,0))</f>
        <v>14.55</v>
      </c>
      <c r="M56" s="5">
        <f t="shared" si="0"/>
        <v>72.75</v>
      </c>
      <c r="N56" t="str">
        <f t="shared" si="1"/>
        <v>Liberica</v>
      </c>
      <c r="O56" t="str">
        <f t="shared" si="2"/>
        <v>Medium</v>
      </c>
      <c r="P56" t="str">
        <f>_xlfn.XLOOKUP(Table1[[#This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IF(_xlfn.XLOOKUP(C57,customers!$A$1:$A$1001,customers!C56:C1056,,0)=0,"",_xlfn.XLOOKUP(C57,customers!$A$1:$A$1001,customers!C56:C1056,,0))</f>
        <v>mredgrave32@cargocollective.com</v>
      </c>
      <c r="H57" s="2" t="str">
        <f>_xlfn.XLOOKUP(orders!C57,customers!$A$1:$A$1001,customers!$G$1:$G$1001,,0)</f>
        <v>United States</v>
      </c>
      <c r="I57" t="str">
        <f>INDEX(products!$A$1:$G$49,MATCH(orders!$D57, products!$A$1:$A$49,0), MATCH(orders!I$1,products!$A$1:$G$1,0))</f>
        <v>Lib</v>
      </c>
      <c r="J57" t="str">
        <f>INDEX(products!$A$1:$G$49,MATCH(orders!$D57, products!$A$1:$A$49,0), MATCH(orders!J$1,products!$A$1:$G$1,0))</f>
        <v>L</v>
      </c>
      <c r="K57" s="4">
        <f>INDEX(products!$A$1:$G$49,MATCH(orders!$D57, products!$A$1:$A$49,0), MATCH(orders!K$1,products!$A$1:$G$1,0))</f>
        <v>1</v>
      </c>
      <c r="L57" s="5">
        <f>INDEX(products!$A$1:$G$49,MATCH(orders!$D57, products!$A$1:$A$49,0), MATCH(orders!L$1,products!$A$1:$G$1,0))</f>
        <v>15.85</v>
      </c>
      <c r="M57" s="5">
        <f t="shared" si="0"/>
        <v>47.55</v>
      </c>
      <c r="N57" t="str">
        <f t="shared" si="1"/>
        <v>Liberica</v>
      </c>
      <c r="O57" t="str">
        <f t="shared" si="2"/>
        <v>Light</v>
      </c>
      <c r="P57" t="str">
        <f>_xlfn.XLOOKUP(Table1[[#This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IF(_xlfn.XLOOKUP(C58,customers!$A$1:$A$1001,customers!C57:C1057,,0)=0,"",_xlfn.XLOOKUP(C58,customers!$A$1:$A$1001,customers!C57:C1057,,0))</f>
        <v>scritchlow34@un.org</v>
      </c>
      <c r="H58" s="2" t="str">
        <f>_xlfn.XLOOKUP(orders!C58,customers!$A$1:$A$1001,customers!$G$1:$G$1001,,0)</f>
        <v>United States</v>
      </c>
      <c r="I58" t="str">
        <f>INDEX(products!$A$1:$G$49,MATCH(orders!$D58, products!$A$1:$A$49,0), MATCH(orders!I$1,products!$A$1:$G$1,0))</f>
        <v>Exc</v>
      </c>
      <c r="J58" t="str">
        <f>INDEX(products!$A$1:$G$49,MATCH(orders!$D58, products!$A$1:$A$49,0), MATCH(orders!J$1,products!$A$1:$G$1,0))</f>
        <v>D</v>
      </c>
      <c r="K58" s="4">
        <f>INDEX(products!$A$1:$G$49,MATCH(orders!$D58, products!$A$1:$A$49,0), MATCH(orders!K$1,products!$A$1:$G$1,0))</f>
        <v>0.2</v>
      </c>
      <c r="L58" s="5">
        <f>INDEX(products!$A$1:$G$49,MATCH(orders!$D58, products!$A$1:$A$49,0), MATCH(orders!L$1,products!$A$1:$G$1,0))</f>
        <v>3.645</v>
      </c>
      <c r="M58" s="5">
        <f t="shared" si="0"/>
        <v>10.935</v>
      </c>
      <c r="N58" t="str">
        <f t="shared" si="1"/>
        <v>Excelsa</v>
      </c>
      <c r="O58" t="str">
        <f t="shared" si="2"/>
        <v>Dark</v>
      </c>
      <c r="P58" t="str">
        <f>_xlfn.XLOOKUP(Table1[[#This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IF(_xlfn.XLOOKUP(C59,customers!$A$1:$A$1001,customers!C58:C1058,,0)=0,"",_xlfn.XLOOKUP(C59,customers!$A$1:$A$1001,customers!C58:C1058,,0))</f>
        <v/>
      </c>
      <c r="H59" s="2" t="str">
        <f>_xlfn.XLOOKUP(orders!C59,customers!$A$1:$A$1001,customers!$G$1:$G$1001,,0)</f>
        <v>United States</v>
      </c>
      <c r="I59" t="str">
        <f>INDEX(products!$A$1:$G$49,MATCH(orders!$D59, products!$A$1:$A$49,0), MATCH(orders!I$1,products!$A$1:$G$1,0))</f>
        <v>Exc</v>
      </c>
      <c r="J59" t="str">
        <f>INDEX(products!$A$1:$G$49,MATCH(orders!$D59, products!$A$1:$A$49,0), MATCH(orders!J$1,products!$A$1:$G$1,0))</f>
        <v>L</v>
      </c>
      <c r="K59" s="4">
        <f>INDEX(products!$A$1:$G$49,MATCH(orders!$D59, products!$A$1:$A$49,0), MATCH(orders!K$1,products!$A$1:$G$1,0))</f>
        <v>1</v>
      </c>
      <c r="L59" s="5">
        <f>INDEX(products!$A$1:$G$49,MATCH(orders!$D59, products!$A$1:$A$49,0), MATCH(orders!L$1,products!$A$1:$G$1,0))</f>
        <v>14.85</v>
      </c>
      <c r="M59" s="5">
        <f t="shared" si="0"/>
        <v>59.4</v>
      </c>
      <c r="N59" t="str">
        <f t="shared" si="1"/>
        <v>Excelsa</v>
      </c>
      <c r="O59" t="str">
        <f t="shared" si="2"/>
        <v>Light</v>
      </c>
      <c r="P59" t="str">
        <f>_xlfn.XLOOKUP(Table1[[#This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IF(_xlfn.XLOOKUP(C60,customers!$A$1:$A$1001,customers!C59:C1059,,0)=0,"",_xlfn.XLOOKUP(C60,customers!$A$1:$A$1001,customers!C59:C1059,,0))</f>
        <v>gstandley38@dion.ne.jp</v>
      </c>
      <c r="H60" s="2" t="str">
        <f>_xlfn.XLOOKUP(orders!C60,customers!$A$1:$A$1001,customers!$G$1:$G$1001,,0)</f>
        <v>United States</v>
      </c>
      <c r="I60" t="str">
        <f>INDEX(products!$A$1:$G$49,MATCH(orders!$D60, products!$A$1:$A$49,0), MATCH(orders!I$1,products!$A$1:$G$1,0))</f>
        <v>Lib</v>
      </c>
      <c r="J60" t="str">
        <f>INDEX(products!$A$1:$G$49,MATCH(orders!$D60, products!$A$1:$A$49,0), MATCH(orders!J$1,products!$A$1:$G$1,0))</f>
        <v>D</v>
      </c>
      <c r="K60" s="4">
        <f>INDEX(products!$A$1:$G$49,MATCH(orders!$D60, products!$A$1:$A$49,0), MATCH(orders!K$1,products!$A$1:$G$1,0))</f>
        <v>2.5</v>
      </c>
      <c r="L60" s="5">
        <f>INDEX(products!$A$1:$G$49,MATCH(orders!$D60, products!$A$1:$A$49,0), MATCH(orders!L$1,products!$A$1:$G$1,0))</f>
        <v>29.784999999999997</v>
      </c>
      <c r="M60" s="5">
        <f t="shared" si="0"/>
        <v>89.35499999999999</v>
      </c>
      <c r="N60" t="str">
        <f t="shared" si="1"/>
        <v>Liberica</v>
      </c>
      <c r="O60" t="str">
        <f t="shared" si="2"/>
        <v>Dark</v>
      </c>
      <c r="P60" t="str">
        <f>_xlfn.XLOOKUP(Table1[[#This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IF(_xlfn.XLOOKUP(C61,customers!$A$1:$A$1001,customers!C60:C1060,,0)=0,"",_xlfn.XLOOKUP(C61,customers!$A$1:$A$1001,customers!C60:C1060,,0))</f>
        <v>myallop3a@fema.gov</v>
      </c>
      <c r="H61" s="2" t="str">
        <f>_xlfn.XLOOKUP(orders!C61,customers!$A$1:$A$1001,customers!$G$1:$G$1001,,0)</f>
        <v>United States</v>
      </c>
      <c r="I61" t="str">
        <f>INDEX(products!$A$1:$G$49,MATCH(orders!$D61, products!$A$1:$A$49,0), MATCH(orders!I$1,products!$A$1:$G$1,0))</f>
        <v>Lib</v>
      </c>
      <c r="J61" t="str">
        <f>INDEX(products!$A$1:$G$49,MATCH(orders!$D61, products!$A$1:$A$49,0), MATCH(orders!J$1,products!$A$1:$G$1,0))</f>
        <v>M</v>
      </c>
      <c r="K61" s="4">
        <f>INDEX(products!$A$1:$G$49,MATCH(orders!$D61, products!$A$1:$A$49,0), MATCH(orders!K$1,products!$A$1:$G$1,0))</f>
        <v>0.5</v>
      </c>
      <c r="L61" s="5">
        <f>INDEX(products!$A$1:$G$49,MATCH(orders!$D61, products!$A$1:$A$49,0), MATCH(orders!L$1,products!$A$1:$G$1,0))</f>
        <v>8.73</v>
      </c>
      <c r="M61" s="5">
        <f t="shared" si="0"/>
        <v>26.19</v>
      </c>
      <c r="N61" t="str">
        <f t="shared" si="1"/>
        <v>Liberica</v>
      </c>
      <c r="O61" t="str">
        <f t="shared" si="2"/>
        <v>Medium</v>
      </c>
      <c r="P61" t="str">
        <f>_xlfn.XLOOKUP(Table1[[#This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IF(_xlfn.XLOOKUP(C62,customers!$A$1:$A$1001,customers!C61:C1061,,0)=0,"",_xlfn.XLOOKUP(C62,customers!$A$1:$A$1001,customers!C61:C1061,,0))</f>
        <v>ehows3c@devhub.com</v>
      </c>
      <c r="H62" s="2" t="str">
        <f>_xlfn.XLOOKUP(orders!C62,customers!$A$1:$A$1001,customers!$G$1:$G$1001,,0)</f>
        <v>United States</v>
      </c>
      <c r="I62" t="str">
        <f>INDEX(products!$A$1:$G$49,MATCH(orders!$D62, products!$A$1:$A$49,0), MATCH(orders!I$1,products!$A$1:$G$1,0))</f>
        <v>Ara</v>
      </c>
      <c r="J62" t="str">
        <f>INDEX(products!$A$1:$G$49,MATCH(orders!$D62, products!$A$1:$A$49,0), MATCH(orders!J$1,products!$A$1:$G$1,0))</f>
        <v>D</v>
      </c>
      <c r="K62" s="4">
        <f>INDEX(products!$A$1:$G$49,MATCH(orders!$D62, products!$A$1:$A$49,0), MATCH(orders!K$1,products!$A$1:$G$1,0))</f>
        <v>2.5</v>
      </c>
      <c r="L62" s="5">
        <f>INDEX(products!$A$1:$G$49,MATCH(orders!$D62, products!$A$1:$A$49,0), MATCH(orders!L$1,products!$A$1:$G$1,0))</f>
        <v>22.884999999999998</v>
      </c>
      <c r="M62" s="5">
        <f t="shared" si="0"/>
        <v>114.42499999999998</v>
      </c>
      <c r="N62" t="str">
        <f t="shared" si="1"/>
        <v>Arabica</v>
      </c>
      <c r="O62" t="str">
        <f t="shared" si="2"/>
        <v>Dark</v>
      </c>
      <c r="P62" t="str">
        <f>_xlfn.XLOOKUP(Table1[[#This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IF(_xlfn.XLOOKUP(C63,customers!$A$1:$A$1001,customers!C62:C1062,,0)=0,"",_xlfn.XLOOKUP(C63,customers!$A$1:$A$1001,customers!C62:C1062,,0))</f>
        <v>mludwell3e@blogger.com</v>
      </c>
      <c r="H63" s="2" t="str">
        <f>_xlfn.XLOOKUP(orders!C63,customers!$A$1:$A$1001,customers!$G$1:$G$1001,,0)</f>
        <v>United Kingdom</v>
      </c>
      <c r="I63" t="str">
        <f>INDEX(products!$A$1:$G$49,MATCH(orders!$D63, products!$A$1:$A$49,0), MATCH(orders!I$1,products!$A$1:$G$1,0))</f>
        <v>Rob</v>
      </c>
      <c r="J63" t="str">
        <f>INDEX(products!$A$1:$G$49,MATCH(orders!$D63, products!$A$1:$A$49,0), MATCH(orders!J$1,products!$A$1:$G$1,0))</f>
        <v>D</v>
      </c>
      <c r="K63" s="4">
        <f>INDEX(products!$A$1:$G$49,MATCH(orders!$D63, products!$A$1:$A$49,0), MATCH(orders!K$1,products!$A$1:$G$1,0))</f>
        <v>0.5</v>
      </c>
      <c r="L63" s="5">
        <f>INDEX(products!$A$1:$G$49,MATCH(orders!$D63, products!$A$1:$A$49,0), MATCH(orders!L$1,products!$A$1:$G$1,0))</f>
        <v>5.3699999999999992</v>
      </c>
      <c r="M63" s="5">
        <f t="shared" si="0"/>
        <v>26.849999999999994</v>
      </c>
      <c r="N63" t="str">
        <f t="shared" si="1"/>
        <v>Robusta</v>
      </c>
      <c r="O63" t="str">
        <f t="shared" si="2"/>
        <v>Dark</v>
      </c>
      <c r="P63" t="str">
        <f>_xlfn.XLOOKUP(Table1[[#This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IF(_xlfn.XLOOKUP(C64,customers!$A$1:$A$1001,customers!C63:C1063,,0)=0,"",_xlfn.XLOOKUP(C64,customers!$A$1:$A$1001,customers!C63:C1063,,0))</f>
        <v>srodliff3g@ted.com</v>
      </c>
      <c r="H64" s="2" t="str">
        <f>_xlfn.XLOOKUP(orders!C64,customers!$A$1:$A$1001,customers!$G$1:$G$1001,,0)</f>
        <v>United States</v>
      </c>
      <c r="I64" t="str">
        <f>INDEX(products!$A$1:$G$49,MATCH(orders!$D64, products!$A$1:$A$49,0), MATCH(orders!I$1,products!$A$1:$G$1,0))</f>
        <v>Lib</v>
      </c>
      <c r="J64" t="str">
        <f>INDEX(products!$A$1:$G$49,MATCH(orders!$D64, products!$A$1:$A$49,0), MATCH(orders!J$1,products!$A$1:$G$1,0))</f>
        <v>L</v>
      </c>
      <c r="K64" s="4">
        <f>INDEX(products!$A$1:$G$49,MATCH(orders!$D64, products!$A$1:$A$49,0), MATCH(orders!K$1,products!$A$1:$G$1,0))</f>
        <v>0.2</v>
      </c>
      <c r="L64" s="5">
        <f>INDEX(products!$A$1:$G$49,MATCH(orders!$D64, products!$A$1:$A$49,0), MATCH(orders!L$1,products!$A$1:$G$1,0))</f>
        <v>4.7549999999999999</v>
      </c>
      <c r="M64" s="5">
        <f t="shared" si="0"/>
        <v>23.774999999999999</v>
      </c>
      <c r="N64" t="str">
        <f t="shared" si="1"/>
        <v>Liberica</v>
      </c>
      <c r="O64" t="str">
        <f t="shared" si="2"/>
        <v>Light</v>
      </c>
      <c r="P64" t="str">
        <f>_xlfn.XLOOKUP(Table1[[#This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IF(_xlfn.XLOOKUP(C65,customers!$A$1:$A$1001,customers!C64:C1064,,0)=0,"",_xlfn.XLOOKUP(C65,customers!$A$1:$A$1001,customers!C64:C1064,,0))</f>
        <v>hsynnot3i@about.com</v>
      </c>
      <c r="H65" s="2" t="str">
        <f>_xlfn.XLOOKUP(orders!C65,customers!$A$1:$A$1001,customers!$G$1:$G$1001,,0)</f>
        <v>United States</v>
      </c>
      <c r="I65" t="str">
        <f>INDEX(products!$A$1:$G$49,MATCH(orders!$D65, products!$A$1:$A$49,0), MATCH(orders!I$1,products!$A$1:$G$1,0))</f>
        <v>Ara</v>
      </c>
      <c r="J65" t="str">
        <f>INDEX(products!$A$1:$G$49,MATCH(orders!$D65, products!$A$1:$A$49,0), MATCH(orders!J$1,products!$A$1:$G$1,0))</f>
        <v>M</v>
      </c>
      <c r="K65" s="4">
        <f>INDEX(products!$A$1:$G$49,MATCH(orders!$D65, products!$A$1:$A$49,0), MATCH(orders!K$1,products!$A$1:$G$1,0))</f>
        <v>0.5</v>
      </c>
      <c r="L65" s="5">
        <f>INDEX(products!$A$1:$G$49,MATCH(orders!$D65, products!$A$1:$A$49,0), MATCH(orders!L$1,products!$A$1:$G$1,0))</f>
        <v>6.75</v>
      </c>
      <c r="M65" s="5">
        <f t="shared" si="0"/>
        <v>6.75</v>
      </c>
      <c r="N65" t="str">
        <f t="shared" si="1"/>
        <v>Arabica</v>
      </c>
      <c r="O65" t="str">
        <f t="shared" si="2"/>
        <v>Medium</v>
      </c>
      <c r="P65" t="str">
        <f>_xlfn.XLOOKUP(Table1[[#This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IF(_xlfn.XLOOKUP(C66,customers!$A$1:$A$1001,customers!C65:C1065,,0)=0,"",_xlfn.XLOOKUP(C66,customers!$A$1:$A$1001,customers!C65:C1065,,0))</f>
        <v>twoofinden3k@businesswire.com</v>
      </c>
      <c r="H66" s="2" t="str">
        <f>_xlfn.XLOOKUP(orders!C66,customers!$A$1:$A$1001,customers!$G$1:$G$1001,,0)</f>
        <v>United States</v>
      </c>
      <c r="I66" t="str">
        <f>INDEX(products!$A$1:$G$49,MATCH(orders!$D66, products!$A$1:$A$49,0), MATCH(orders!I$1,products!$A$1:$G$1,0))</f>
        <v>Rob</v>
      </c>
      <c r="J66" t="str">
        <f>INDEX(products!$A$1:$G$49,MATCH(orders!$D66, products!$A$1:$A$49,0), MATCH(orders!J$1,products!$A$1:$G$1,0))</f>
        <v>M</v>
      </c>
      <c r="K66" s="4">
        <f>INDEX(products!$A$1:$G$49,MATCH(orders!$D66, products!$A$1:$A$49,0), MATCH(orders!K$1,products!$A$1:$G$1,0))</f>
        <v>0.5</v>
      </c>
      <c r="L66" s="5">
        <f>INDEX(products!$A$1:$G$49,MATCH(orders!$D66, products!$A$1:$A$49,0), MATCH(orders!L$1,products!$A$1:$G$1,0))</f>
        <v>5.97</v>
      </c>
      <c r="M66" s="5">
        <f t="shared" si="0"/>
        <v>35.82</v>
      </c>
      <c r="N66" t="str">
        <f t="shared" si="1"/>
        <v>Robusta</v>
      </c>
      <c r="O66" t="str">
        <f t="shared" si="2"/>
        <v>Medium</v>
      </c>
      <c r="P66" t="str">
        <f>_xlfn.XLOOKUP(Table1[[#This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IF(_xlfn.XLOOKUP(C67,customers!$A$1:$A$1001,customers!C66:C1066,,0)=0,"",_xlfn.XLOOKUP(C67,customers!$A$1:$A$1001,customers!C66:C1066,,0))</f>
        <v/>
      </c>
      <c r="H67" s="2" t="str">
        <f>_xlfn.XLOOKUP(orders!C67,customers!$A$1:$A$1001,customers!$G$1:$G$1001,,0)</f>
        <v>United States</v>
      </c>
      <c r="I67" t="str">
        <f>INDEX(products!$A$1:$G$49,MATCH(orders!$D67, products!$A$1:$A$49,0), MATCH(orders!I$1,products!$A$1:$G$1,0))</f>
        <v>Rob</v>
      </c>
      <c r="J67" t="str">
        <f>INDEX(products!$A$1:$G$49,MATCH(orders!$D67, products!$A$1:$A$49,0), MATCH(orders!J$1,products!$A$1:$G$1,0))</f>
        <v>D</v>
      </c>
      <c r="K67" s="4">
        <f>INDEX(products!$A$1:$G$49,MATCH(orders!$D67, products!$A$1:$A$49,0), MATCH(orders!K$1,products!$A$1:$G$1,0))</f>
        <v>2.5</v>
      </c>
      <c r="L67" s="5">
        <f>INDEX(products!$A$1:$G$49,MATCH(orders!$D67, products!$A$1:$A$49,0), MATCH(orders!L$1,products!$A$1:$G$1,0))</f>
        <v>20.584999999999997</v>
      </c>
      <c r="M67" s="5">
        <f t="shared" ref="M67:M130" si="3">L67*E67</f>
        <v>82.339999999999989</v>
      </c>
      <c r="N67" t="str">
        <f t="shared" ref="N67:N130" si="4">IF(I67="Rob","Robusta",IF(I67="Exc", "Excelsa", IF(I67="Ara","Arabica", IF(I67="lib","Liberica",""))))</f>
        <v>Robusta</v>
      </c>
      <c r="O67" t="str">
        <f t="shared" ref="O67:O130" si="5">IF(J67="M","Medium",IF(J67="L","Light",IF(J67="D","Dark", "")))</f>
        <v>Dark</v>
      </c>
      <c r="P67" t="str">
        <f>_xlfn.XLOOKUP(Table1[[#This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IF(_xlfn.XLOOKUP(C68,customers!$A$1:$A$1001,customers!C67:C1067,,0)=0,"",_xlfn.XLOOKUP(C68,customers!$A$1:$A$1001,customers!C67:C1067,,0))</f>
        <v>orobins3o@salon.com</v>
      </c>
      <c r="H68" s="2" t="str">
        <f>_xlfn.XLOOKUP(orders!C68,customers!$A$1:$A$1001,customers!$G$1:$G$1001,,0)</f>
        <v>United States</v>
      </c>
      <c r="I68" t="str">
        <f>INDEX(products!$A$1:$G$49,MATCH(orders!$D68, products!$A$1:$A$49,0), MATCH(orders!I$1,products!$A$1:$G$1,0))</f>
        <v>Rob</v>
      </c>
      <c r="J68" t="str">
        <f>INDEX(products!$A$1:$G$49,MATCH(orders!$D68, products!$A$1:$A$49,0), MATCH(orders!J$1,products!$A$1:$G$1,0))</f>
        <v>L</v>
      </c>
      <c r="K68" s="4">
        <f>INDEX(products!$A$1:$G$49,MATCH(orders!$D68, products!$A$1:$A$49,0), MATCH(orders!K$1,products!$A$1:$G$1,0))</f>
        <v>0.5</v>
      </c>
      <c r="L68" s="5">
        <f>INDEX(products!$A$1:$G$49,MATCH(orders!$D68, products!$A$1:$A$49,0), MATCH(orders!L$1,products!$A$1:$G$1,0))</f>
        <v>7.169999999999999</v>
      </c>
      <c r="M68" s="5">
        <f t="shared" si="3"/>
        <v>7.169999999999999</v>
      </c>
      <c r="N68" t="str">
        <f t="shared" si="4"/>
        <v>Robusta</v>
      </c>
      <c r="O68" t="str">
        <f t="shared" si="5"/>
        <v>Light</v>
      </c>
      <c r="P68" t="str">
        <f>_xlfn.XLOOKUP(Table1[[#This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IF(_xlfn.XLOOKUP(C69,customers!$A$1:$A$1001,customers!C68:C1068,,0)=0,"",_xlfn.XLOOKUP(C69,customers!$A$1:$A$1001,customers!C68:C1068,,0))</f>
        <v/>
      </c>
      <c r="H69" s="2" t="str">
        <f>_xlfn.XLOOKUP(orders!C69,customers!$A$1:$A$1001,customers!$G$1:$G$1001,,0)</f>
        <v>United States</v>
      </c>
      <c r="I69" t="str">
        <f>INDEX(products!$A$1:$G$49,MATCH(orders!$D69, products!$A$1:$A$49,0), MATCH(orders!I$1,products!$A$1:$G$1,0))</f>
        <v>Lib</v>
      </c>
      <c r="J69" t="str">
        <f>INDEX(products!$A$1:$G$49,MATCH(orders!$D69, products!$A$1:$A$49,0), MATCH(orders!J$1,products!$A$1:$G$1,0))</f>
        <v>L</v>
      </c>
      <c r="K69" s="4">
        <f>INDEX(products!$A$1:$G$49,MATCH(orders!$D69, products!$A$1:$A$49,0), MATCH(orders!K$1,products!$A$1:$G$1,0))</f>
        <v>0.2</v>
      </c>
      <c r="L69" s="5">
        <f>INDEX(products!$A$1:$G$49,MATCH(orders!$D69, products!$A$1:$A$49,0), MATCH(orders!L$1,products!$A$1:$G$1,0))</f>
        <v>4.7549999999999999</v>
      </c>
      <c r="M69" s="5">
        <f t="shared" si="3"/>
        <v>9.51</v>
      </c>
      <c r="N69" t="str">
        <f t="shared" si="4"/>
        <v>Liberica</v>
      </c>
      <c r="O69" t="str">
        <f t="shared" si="5"/>
        <v>Light</v>
      </c>
      <c r="P69" t="str">
        <f>_xlfn.XLOOKUP(Table1[[#This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IF(_xlfn.XLOOKUP(C70,customers!$A$1:$A$1001,customers!C69:C1069,,0)=0,"",_xlfn.XLOOKUP(C70,customers!$A$1:$A$1001,customers!C69:C1069,,0))</f>
        <v>lkeenleyside3s@topsy.com</v>
      </c>
      <c r="H70" s="2" t="str">
        <f>_xlfn.XLOOKUP(orders!C70,customers!$A$1:$A$1001,customers!$G$1:$G$1001,,0)</f>
        <v>United States</v>
      </c>
      <c r="I70" t="str">
        <f>INDEX(products!$A$1:$G$49,MATCH(orders!$D70, products!$A$1:$A$49,0), MATCH(orders!I$1,products!$A$1:$G$1,0))</f>
        <v>Rob</v>
      </c>
      <c r="J70" t="str">
        <f>INDEX(products!$A$1:$G$49,MATCH(orders!$D70, products!$A$1:$A$49,0), MATCH(orders!J$1,products!$A$1:$G$1,0))</f>
        <v>M</v>
      </c>
      <c r="K70" s="4">
        <f>INDEX(products!$A$1:$G$49,MATCH(orders!$D70, products!$A$1:$A$49,0), MATCH(orders!K$1,products!$A$1:$G$1,0))</f>
        <v>0.2</v>
      </c>
      <c r="L70" s="5">
        <f>INDEX(products!$A$1:$G$49,MATCH(orders!$D70, products!$A$1:$A$49,0), MATCH(orders!L$1,products!$A$1:$G$1,0))</f>
        <v>2.9849999999999999</v>
      </c>
      <c r="M70" s="5">
        <f t="shared" si="3"/>
        <v>2.9849999999999999</v>
      </c>
      <c r="N70" t="str">
        <f t="shared" si="4"/>
        <v>Robusta</v>
      </c>
      <c r="O70" t="str">
        <f t="shared" si="5"/>
        <v>Medium</v>
      </c>
      <c r="P70" t="str">
        <f>_xlfn.XLOOKUP(Table1[[#This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IF(_xlfn.XLOOKUP(C71,customers!$A$1:$A$1001,customers!C70:C1070,,0)=0,"",_xlfn.XLOOKUP(C71,customers!$A$1:$A$1001,customers!C70:C1070,,0))</f>
        <v/>
      </c>
      <c r="H71" s="2" t="str">
        <f>_xlfn.XLOOKUP(orders!C71,customers!$A$1:$A$1001,customers!$G$1:$G$1001,,0)</f>
        <v>United Kingdom</v>
      </c>
      <c r="I71" t="str">
        <f>INDEX(products!$A$1:$G$49,MATCH(orders!$D71, products!$A$1:$A$49,0), MATCH(orders!I$1,products!$A$1:$G$1,0))</f>
        <v>Rob</v>
      </c>
      <c r="J71" t="str">
        <f>INDEX(products!$A$1:$G$49,MATCH(orders!$D71, products!$A$1:$A$49,0), MATCH(orders!J$1,products!$A$1:$G$1,0))</f>
        <v>M</v>
      </c>
      <c r="K71" s="4">
        <f>INDEX(products!$A$1:$G$49,MATCH(orders!$D71, products!$A$1:$A$49,0), MATCH(orders!K$1,products!$A$1:$G$1,0))</f>
        <v>1</v>
      </c>
      <c r="L71" s="5">
        <f>INDEX(products!$A$1:$G$49,MATCH(orders!$D71, products!$A$1:$A$49,0), MATCH(orders!L$1,products!$A$1:$G$1,0))</f>
        <v>9.9499999999999993</v>
      </c>
      <c r="M71" s="5">
        <f t="shared" si="3"/>
        <v>59.699999999999996</v>
      </c>
      <c r="N71" t="str">
        <f t="shared" si="4"/>
        <v>Robusta</v>
      </c>
      <c r="O71" t="str">
        <f t="shared" si="5"/>
        <v>Medium</v>
      </c>
      <c r="P71" t="str">
        <f>_xlfn.XLOOKUP(Table1[[#This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IF(_xlfn.XLOOKUP(C72,customers!$A$1:$A$1001,customers!C71:C1071,,0)=0,"",_xlfn.XLOOKUP(C72,customers!$A$1:$A$1001,customers!C71:C1071,,0))</f>
        <v>vkundt3w@bigcartel.com</v>
      </c>
      <c r="H72" s="2" t="str">
        <f>_xlfn.XLOOKUP(orders!C72,customers!$A$1:$A$1001,customers!$G$1:$G$1001,,0)</f>
        <v>United States</v>
      </c>
      <c r="I72" t="str">
        <f>INDEX(products!$A$1:$G$49,MATCH(orders!$D72, products!$A$1:$A$49,0), MATCH(orders!I$1,products!$A$1:$G$1,0))</f>
        <v>Exc</v>
      </c>
      <c r="J72" t="str">
        <f>INDEX(products!$A$1:$G$49,MATCH(orders!$D72, products!$A$1:$A$49,0), MATCH(orders!J$1,products!$A$1:$G$1,0))</f>
        <v>L</v>
      </c>
      <c r="K72" s="4">
        <f>INDEX(products!$A$1:$G$49,MATCH(orders!$D72, products!$A$1:$A$49,0), MATCH(orders!K$1,products!$A$1:$G$1,0))</f>
        <v>2.5</v>
      </c>
      <c r="L72" s="5">
        <f>INDEX(products!$A$1:$G$49,MATCH(orders!$D72, products!$A$1:$A$49,0), MATCH(orders!L$1,products!$A$1:$G$1,0))</f>
        <v>34.154999999999994</v>
      </c>
      <c r="M72" s="5">
        <f t="shared" si="3"/>
        <v>136.61999999999998</v>
      </c>
      <c r="N72" t="str">
        <f t="shared" si="4"/>
        <v>Excelsa</v>
      </c>
      <c r="O72" t="str">
        <f t="shared" si="5"/>
        <v>Light</v>
      </c>
      <c r="P72" t="str">
        <f>_xlfn.XLOOKUP(Table1[[#This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IF(_xlfn.XLOOKUP(C73,customers!$A$1:$A$1001,customers!C72:C1072,,0)=0,"",_xlfn.XLOOKUP(C73,customers!$A$1:$A$1001,customers!C72:C1072,,0))</f>
        <v/>
      </c>
      <c r="H73" s="2" t="str">
        <f>_xlfn.XLOOKUP(orders!C73,customers!$A$1:$A$1001,customers!$G$1:$G$1001,,0)</f>
        <v>Ireland</v>
      </c>
      <c r="I73" t="str">
        <f>INDEX(products!$A$1:$G$49,MATCH(orders!$D73, products!$A$1:$A$49,0), MATCH(orders!I$1,products!$A$1:$G$1,0))</f>
        <v>Lib</v>
      </c>
      <c r="J73" t="str">
        <f>INDEX(products!$A$1:$G$49,MATCH(orders!$D73, products!$A$1:$A$49,0), MATCH(orders!J$1,products!$A$1:$G$1,0))</f>
        <v>L</v>
      </c>
      <c r="K73" s="4">
        <f>INDEX(products!$A$1:$G$49,MATCH(orders!$D73, products!$A$1:$A$49,0), MATCH(orders!K$1,products!$A$1:$G$1,0))</f>
        <v>0.2</v>
      </c>
      <c r="L73" s="5">
        <f>INDEX(products!$A$1:$G$49,MATCH(orders!$D73, products!$A$1:$A$49,0), MATCH(orders!L$1,products!$A$1:$G$1,0))</f>
        <v>4.7549999999999999</v>
      </c>
      <c r="M73" s="5">
        <f t="shared" si="3"/>
        <v>9.51</v>
      </c>
      <c r="N73" t="str">
        <f t="shared" si="4"/>
        <v>Liberica</v>
      </c>
      <c r="O73" t="str">
        <f t="shared" si="5"/>
        <v>Light</v>
      </c>
      <c r="P73" t="str">
        <f>_xlfn.XLOOKUP(Table1[[#This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IF(_xlfn.XLOOKUP(C74,customers!$A$1:$A$1001,customers!C73:C1073,,0)=0,"",_xlfn.XLOOKUP(C74,customers!$A$1:$A$1001,customers!C73:C1073,,0))</f>
        <v>wkeyse40@apple.com</v>
      </c>
      <c r="H74" s="2" t="str">
        <f>_xlfn.XLOOKUP(orders!C74,customers!$A$1:$A$1001,customers!$G$1:$G$1001,,0)</f>
        <v>United States</v>
      </c>
      <c r="I74" t="str">
        <f>INDEX(products!$A$1:$G$49,MATCH(orders!$D74, products!$A$1:$A$49,0), MATCH(orders!I$1,products!$A$1:$G$1,0))</f>
        <v>Ara</v>
      </c>
      <c r="J74" t="str">
        <f>INDEX(products!$A$1:$G$49,MATCH(orders!$D74, products!$A$1:$A$49,0), MATCH(orders!J$1,products!$A$1:$G$1,0))</f>
        <v>M</v>
      </c>
      <c r="K74" s="4">
        <f>INDEX(products!$A$1:$G$49,MATCH(orders!$D74, products!$A$1:$A$49,0), MATCH(orders!K$1,products!$A$1:$G$1,0))</f>
        <v>2.5</v>
      </c>
      <c r="L74" s="5">
        <f>INDEX(products!$A$1:$G$49,MATCH(orders!$D74, products!$A$1:$A$49,0), MATCH(orders!L$1,products!$A$1:$G$1,0))</f>
        <v>25.874999999999996</v>
      </c>
      <c r="M74" s="5">
        <f t="shared" si="3"/>
        <v>77.624999999999986</v>
      </c>
      <c r="N74" t="str">
        <f t="shared" si="4"/>
        <v>Arabica</v>
      </c>
      <c r="O74" t="str">
        <f t="shared" si="5"/>
        <v>Medium</v>
      </c>
      <c r="P74" t="str">
        <f>_xlfn.XLOOKUP(Table1[[#This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IF(_xlfn.XLOOKUP(C75,customers!$A$1:$A$1001,customers!C74:C1074,,0)=0,"",_xlfn.XLOOKUP(C75,customers!$A$1:$A$1001,customers!C74:C1074,,0))</f>
        <v>lfrancisco42@fema.gov</v>
      </c>
      <c r="H75" s="2" t="str">
        <f>_xlfn.XLOOKUP(orders!C75,customers!$A$1:$A$1001,customers!$G$1:$G$1001,,0)</f>
        <v>United States</v>
      </c>
      <c r="I75" t="str">
        <f>INDEX(products!$A$1:$G$49,MATCH(orders!$D75, products!$A$1:$A$49,0), MATCH(orders!I$1,products!$A$1:$G$1,0))</f>
        <v>Lib</v>
      </c>
      <c r="J75" t="str">
        <f>INDEX(products!$A$1:$G$49,MATCH(orders!$D75, products!$A$1:$A$49,0), MATCH(orders!J$1,products!$A$1:$G$1,0))</f>
        <v>M</v>
      </c>
      <c r="K75" s="4">
        <f>INDEX(products!$A$1:$G$49,MATCH(orders!$D75, products!$A$1:$A$49,0), MATCH(orders!K$1,products!$A$1:$G$1,0))</f>
        <v>0.2</v>
      </c>
      <c r="L75" s="5">
        <f>INDEX(products!$A$1:$G$49,MATCH(orders!$D75, products!$A$1:$A$49,0), MATCH(orders!L$1,products!$A$1:$G$1,0))</f>
        <v>4.3650000000000002</v>
      </c>
      <c r="M75" s="5">
        <f t="shared" si="3"/>
        <v>21.825000000000003</v>
      </c>
      <c r="N75" t="str">
        <f t="shared" si="4"/>
        <v>Liberica</v>
      </c>
      <c r="O75" t="str">
        <f t="shared" si="5"/>
        <v>Medium</v>
      </c>
      <c r="P75" t="str">
        <f>_xlfn.XLOOKUP(Table1[[#This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IF(_xlfn.XLOOKUP(C76,customers!$A$1:$A$1001,customers!C75:C1075,,0)=0,"",_xlfn.XLOOKUP(C76,customers!$A$1:$A$1001,customers!C75:C1075,,0))</f>
        <v>gskingle44@clickbank.net</v>
      </c>
      <c r="H76" s="2" t="str">
        <f>_xlfn.XLOOKUP(orders!C76,customers!$A$1:$A$1001,customers!$G$1:$G$1001,,0)</f>
        <v>United States</v>
      </c>
      <c r="I76" t="str">
        <f>INDEX(products!$A$1:$G$49,MATCH(orders!$D76, products!$A$1:$A$49,0), MATCH(orders!I$1,products!$A$1:$G$1,0))</f>
        <v>Exc</v>
      </c>
      <c r="J76" t="str">
        <f>INDEX(products!$A$1:$G$49,MATCH(orders!$D76, products!$A$1:$A$49,0), MATCH(orders!J$1,products!$A$1:$G$1,0))</f>
        <v>L</v>
      </c>
      <c r="K76" s="4">
        <f>INDEX(products!$A$1:$G$49,MATCH(orders!$D76, products!$A$1:$A$49,0), MATCH(orders!K$1,products!$A$1:$G$1,0))</f>
        <v>0.5</v>
      </c>
      <c r="L76" s="5">
        <f>INDEX(products!$A$1:$G$49,MATCH(orders!$D76, products!$A$1:$A$49,0), MATCH(orders!L$1,products!$A$1:$G$1,0))</f>
        <v>8.91</v>
      </c>
      <c r="M76" s="5">
        <f t="shared" si="3"/>
        <v>17.82</v>
      </c>
      <c r="N76" t="str">
        <f t="shared" si="4"/>
        <v>Excelsa</v>
      </c>
      <c r="O76" t="str">
        <f t="shared" si="5"/>
        <v>Light</v>
      </c>
      <c r="P76" t="str">
        <f>_xlfn.XLOOKUP(Table1[[#This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IF(_xlfn.XLOOKUP(C77,customers!$A$1:$A$1001,customers!C76:C1076,,0)=0,"",_xlfn.XLOOKUP(C77,customers!$A$1:$A$1001,customers!C76:C1076,,0))</f>
        <v>jbalsillie46@princeton.edu</v>
      </c>
      <c r="H77" s="2" t="str">
        <f>_xlfn.XLOOKUP(orders!C77,customers!$A$1:$A$1001,customers!$G$1:$G$1001,,0)</f>
        <v>Ireland</v>
      </c>
      <c r="I77" t="str">
        <f>INDEX(products!$A$1:$G$49,MATCH(orders!$D77, products!$A$1:$A$49,0), MATCH(orders!I$1,products!$A$1:$G$1,0))</f>
        <v>Rob</v>
      </c>
      <c r="J77" t="str">
        <f>INDEX(products!$A$1:$G$49,MATCH(orders!$D77, products!$A$1:$A$49,0), MATCH(orders!J$1,products!$A$1:$G$1,0))</f>
        <v>D</v>
      </c>
      <c r="K77" s="4">
        <f>INDEX(products!$A$1:$G$49,MATCH(orders!$D77, products!$A$1:$A$49,0), MATCH(orders!K$1,products!$A$1:$G$1,0))</f>
        <v>1</v>
      </c>
      <c r="L77" s="5">
        <f>INDEX(products!$A$1:$G$49,MATCH(orders!$D77, products!$A$1:$A$49,0), MATCH(orders!L$1,products!$A$1:$G$1,0))</f>
        <v>8.9499999999999993</v>
      </c>
      <c r="M77" s="5">
        <f t="shared" si="3"/>
        <v>53.699999999999996</v>
      </c>
      <c r="N77" t="str">
        <f t="shared" si="4"/>
        <v>Robusta</v>
      </c>
      <c r="O77" t="str">
        <f t="shared" si="5"/>
        <v>Dark</v>
      </c>
      <c r="P77" t="str">
        <f>_xlfn.XLOOKUP(Table1[[#This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IF(_xlfn.XLOOKUP(C78,customers!$A$1:$A$1001,customers!C77:C1077,,0)=0,"",_xlfn.XLOOKUP(C78,customers!$A$1:$A$1001,customers!C77:C1077,,0))</f>
        <v>bleffek48@ning.com</v>
      </c>
      <c r="H78" s="2" t="str">
        <f>_xlfn.XLOOKUP(orders!C78,customers!$A$1:$A$1001,customers!$G$1:$G$1001,,0)</f>
        <v>Ireland</v>
      </c>
      <c r="I78" t="str">
        <f>INDEX(products!$A$1:$G$49,MATCH(orders!$D78, products!$A$1:$A$49,0), MATCH(orders!I$1,products!$A$1:$G$1,0))</f>
        <v>Rob</v>
      </c>
      <c r="J78" t="str">
        <f>INDEX(products!$A$1:$G$49,MATCH(orders!$D78, products!$A$1:$A$49,0), MATCH(orders!J$1,products!$A$1:$G$1,0))</f>
        <v>L</v>
      </c>
      <c r="K78" s="4">
        <f>INDEX(products!$A$1:$G$49,MATCH(orders!$D78, products!$A$1:$A$49,0), MATCH(orders!K$1,products!$A$1:$G$1,0))</f>
        <v>0.2</v>
      </c>
      <c r="L78" s="5">
        <f>INDEX(products!$A$1:$G$49,MATCH(orders!$D78, products!$A$1:$A$49,0), MATCH(orders!L$1,products!$A$1:$G$1,0))</f>
        <v>3.5849999999999995</v>
      </c>
      <c r="M78" s="5">
        <f t="shared" si="3"/>
        <v>3.5849999999999995</v>
      </c>
      <c r="N78" t="str">
        <f t="shared" si="4"/>
        <v>Robusta</v>
      </c>
      <c r="O78" t="str">
        <f t="shared" si="5"/>
        <v>Light</v>
      </c>
      <c r="P78" t="str">
        <f>_xlfn.XLOOKUP(Table1[[#This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IF(_xlfn.XLOOKUP(C79,customers!$A$1:$A$1001,customers!C78:C1078,,0)=0,"",_xlfn.XLOOKUP(C79,customers!$A$1:$A$1001,customers!C78:C1078,,0))</f>
        <v>jpray4a@youtube.com</v>
      </c>
      <c r="H79" s="2" t="str">
        <f>_xlfn.XLOOKUP(orders!C79,customers!$A$1:$A$1001,customers!$G$1:$G$1001,,0)</f>
        <v>United States</v>
      </c>
      <c r="I79" t="str">
        <f>INDEX(products!$A$1:$G$49,MATCH(orders!$D79, products!$A$1:$A$49,0), MATCH(orders!I$1,products!$A$1:$G$1,0))</f>
        <v>Exc</v>
      </c>
      <c r="J79" t="str">
        <f>INDEX(products!$A$1:$G$49,MATCH(orders!$D79, products!$A$1:$A$49,0), MATCH(orders!J$1,products!$A$1:$G$1,0))</f>
        <v>D</v>
      </c>
      <c r="K79" s="4">
        <f>INDEX(products!$A$1:$G$49,MATCH(orders!$D79, products!$A$1:$A$49,0), MATCH(orders!K$1,products!$A$1:$G$1,0))</f>
        <v>0.2</v>
      </c>
      <c r="L79" s="5">
        <f>INDEX(products!$A$1:$G$49,MATCH(orders!$D79, products!$A$1:$A$49,0), MATCH(orders!L$1,products!$A$1:$G$1,0))</f>
        <v>3.645</v>
      </c>
      <c r="M79" s="5">
        <f t="shared" si="3"/>
        <v>7.29</v>
      </c>
      <c r="N79" t="str">
        <f t="shared" si="4"/>
        <v>Excelsa</v>
      </c>
      <c r="O79" t="str">
        <f t="shared" si="5"/>
        <v>Dark</v>
      </c>
      <c r="P79" t="str">
        <f>_xlfn.XLOOKUP(Table1[[#This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IF(_xlfn.XLOOKUP(C80,customers!$A$1:$A$1001,customers!C79:C1079,,0)=0,"",_xlfn.XLOOKUP(C80,customers!$A$1:$A$1001,customers!C79:C1079,,0))</f>
        <v>fkeinrat4c@dailymail.co.uk</v>
      </c>
      <c r="H80" s="2" t="str">
        <f>_xlfn.XLOOKUP(orders!C80,customers!$A$1:$A$1001,customers!$G$1:$G$1001,,0)</f>
        <v>United States</v>
      </c>
      <c r="I80" t="str">
        <f>INDEX(products!$A$1:$G$49,MATCH(orders!$D80, products!$A$1:$A$49,0), MATCH(orders!I$1,products!$A$1:$G$1,0))</f>
        <v>Ara</v>
      </c>
      <c r="J80" t="str">
        <f>INDEX(products!$A$1:$G$49,MATCH(orders!$D80, products!$A$1:$A$49,0), MATCH(orders!J$1,products!$A$1:$G$1,0))</f>
        <v>M</v>
      </c>
      <c r="K80" s="4">
        <f>INDEX(products!$A$1:$G$49,MATCH(orders!$D80, products!$A$1:$A$49,0), MATCH(orders!K$1,products!$A$1:$G$1,0))</f>
        <v>0.5</v>
      </c>
      <c r="L80" s="5">
        <f>INDEX(products!$A$1:$G$49,MATCH(orders!$D80, products!$A$1:$A$49,0), MATCH(orders!L$1,products!$A$1:$G$1,0))</f>
        <v>6.75</v>
      </c>
      <c r="M80" s="5">
        <f t="shared" si="3"/>
        <v>40.5</v>
      </c>
      <c r="N80" t="str">
        <f t="shared" si="4"/>
        <v>Arabica</v>
      </c>
      <c r="O80" t="str">
        <f t="shared" si="5"/>
        <v>Medium</v>
      </c>
      <c r="P80" t="str">
        <f>_xlfn.XLOOKUP(Table1[[#This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IF(_xlfn.XLOOKUP(C81,customers!$A$1:$A$1001,customers!C80:C1080,,0)=0,"",_xlfn.XLOOKUP(C81,customers!$A$1:$A$1001,customers!C80:C1080,,0))</f>
        <v/>
      </c>
      <c r="H81" s="2" t="str">
        <f>_xlfn.XLOOKUP(orders!C81,customers!$A$1:$A$1001,customers!$G$1:$G$1001,,0)</f>
        <v>United States</v>
      </c>
      <c r="I81" t="str">
        <f>INDEX(products!$A$1:$G$49,MATCH(orders!$D81, products!$A$1:$A$49,0), MATCH(orders!I$1,products!$A$1:$G$1,0))</f>
        <v>Rob</v>
      </c>
      <c r="J81" t="str">
        <f>INDEX(products!$A$1:$G$49,MATCH(orders!$D81, products!$A$1:$A$49,0), MATCH(orders!J$1,products!$A$1:$G$1,0))</f>
        <v>L</v>
      </c>
      <c r="K81" s="4">
        <f>INDEX(products!$A$1:$G$49,MATCH(orders!$D81, products!$A$1:$A$49,0), MATCH(orders!K$1,products!$A$1:$G$1,0))</f>
        <v>1</v>
      </c>
      <c r="L81" s="5">
        <f>INDEX(products!$A$1:$G$49,MATCH(orders!$D81, products!$A$1:$A$49,0), MATCH(orders!L$1,products!$A$1:$G$1,0))</f>
        <v>11.95</v>
      </c>
      <c r="M81" s="5">
        <f t="shared" si="3"/>
        <v>47.8</v>
      </c>
      <c r="N81" t="str">
        <f t="shared" si="4"/>
        <v>Robusta</v>
      </c>
      <c r="O81" t="str">
        <f t="shared" si="5"/>
        <v>Light</v>
      </c>
      <c r="P81" t="str">
        <f>_xlfn.XLOOKUP(Table1[[#This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IF(_xlfn.XLOOKUP(C82,customers!$A$1:$A$1001,customers!C81:C1081,,0)=0,"",_xlfn.XLOOKUP(C82,customers!$A$1:$A$1001,customers!C81:C1081,,0))</f>
        <v>kswede4g@addthis.com</v>
      </c>
      <c r="H82" s="2" t="str">
        <f>_xlfn.XLOOKUP(orders!C82,customers!$A$1:$A$1001,customers!$G$1:$G$1001,,0)</f>
        <v>United States</v>
      </c>
      <c r="I82" t="str">
        <f>INDEX(products!$A$1:$G$49,MATCH(orders!$D82, products!$A$1:$A$49,0), MATCH(orders!I$1,products!$A$1:$G$1,0))</f>
        <v>Ara</v>
      </c>
      <c r="J82" t="str">
        <f>INDEX(products!$A$1:$G$49,MATCH(orders!$D82, products!$A$1:$A$49,0), MATCH(orders!J$1,products!$A$1:$G$1,0))</f>
        <v>L</v>
      </c>
      <c r="K82" s="4">
        <f>INDEX(products!$A$1:$G$49,MATCH(orders!$D82, products!$A$1:$A$49,0), MATCH(orders!K$1,products!$A$1:$G$1,0))</f>
        <v>0.5</v>
      </c>
      <c r="L82" s="5">
        <f>INDEX(products!$A$1:$G$49,MATCH(orders!$D82, products!$A$1:$A$49,0), MATCH(orders!L$1,products!$A$1:$G$1,0))</f>
        <v>7.77</v>
      </c>
      <c r="M82" s="5">
        <f t="shared" si="3"/>
        <v>38.849999999999994</v>
      </c>
      <c r="N82" t="str">
        <f t="shared" si="4"/>
        <v>Arabica</v>
      </c>
      <c r="O82" t="str">
        <f t="shared" si="5"/>
        <v>Light</v>
      </c>
      <c r="P82" t="str">
        <f>_xlfn.XLOOKUP(Table1[[#This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IF(_xlfn.XLOOKUP(C83,customers!$A$1:$A$1001,customers!C82:C1082,,0)=0,"",_xlfn.XLOOKUP(C83,customers!$A$1:$A$1001,customers!C82:C1082,,0))</f>
        <v>dtift4i@netvibes.com</v>
      </c>
      <c r="H83" s="2" t="str">
        <f>_xlfn.XLOOKUP(orders!C83,customers!$A$1:$A$1001,customers!$G$1:$G$1001,,0)</f>
        <v>United States</v>
      </c>
      <c r="I83" t="str">
        <f>INDEX(products!$A$1:$G$49,MATCH(orders!$D83, products!$A$1:$A$49,0), MATCH(orders!I$1,products!$A$1:$G$1,0))</f>
        <v>Lib</v>
      </c>
      <c r="J83" t="str">
        <f>INDEX(products!$A$1:$G$49,MATCH(orders!$D83, products!$A$1:$A$49,0), MATCH(orders!J$1,products!$A$1:$G$1,0))</f>
        <v>L</v>
      </c>
      <c r="K83" s="4">
        <f>INDEX(products!$A$1:$G$49,MATCH(orders!$D83, products!$A$1:$A$49,0), MATCH(orders!K$1,products!$A$1:$G$1,0))</f>
        <v>2.5</v>
      </c>
      <c r="L83" s="5">
        <f>INDEX(products!$A$1:$G$49,MATCH(orders!$D83, products!$A$1:$A$49,0), MATCH(orders!L$1,products!$A$1:$G$1,0))</f>
        <v>36.454999999999998</v>
      </c>
      <c r="M83" s="5">
        <f t="shared" si="3"/>
        <v>109.36499999999999</v>
      </c>
      <c r="N83" t="str">
        <f t="shared" si="4"/>
        <v>Liberica</v>
      </c>
      <c r="O83" t="str">
        <f t="shared" si="5"/>
        <v>Light</v>
      </c>
      <c r="P83" t="str">
        <f>_xlfn.XLOOKUP(Table1[[#This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IF(_xlfn.XLOOKUP(C84,customers!$A$1:$A$1001,customers!C83:C1083,,0)=0,"",_xlfn.XLOOKUP(C84,customers!$A$1:$A$1001,customers!C83:C1083,,0))</f>
        <v>cfeye4k@google.co.jp</v>
      </c>
      <c r="H84" s="2" t="str">
        <f>_xlfn.XLOOKUP(orders!C84,customers!$A$1:$A$1001,customers!$G$1:$G$1001,,0)</f>
        <v>Ireland</v>
      </c>
      <c r="I84" t="str">
        <f>INDEX(products!$A$1:$G$49,MATCH(orders!$D84, products!$A$1:$A$49,0), MATCH(orders!I$1,products!$A$1:$G$1,0))</f>
        <v>Lib</v>
      </c>
      <c r="J84" t="str">
        <f>INDEX(products!$A$1:$G$49,MATCH(orders!$D84, products!$A$1:$A$49,0), MATCH(orders!J$1,products!$A$1:$G$1,0))</f>
        <v>M</v>
      </c>
      <c r="K84" s="4">
        <f>INDEX(products!$A$1:$G$49,MATCH(orders!$D84, products!$A$1:$A$49,0), MATCH(orders!K$1,products!$A$1:$G$1,0))</f>
        <v>2.5</v>
      </c>
      <c r="L84" s="5">
        <f>INDEX(products!$A$1:$G$49,MATCH(orders!$D84, products!$A$1:$A$49,0), MATCH(orders!L$1,products!$A$1:$G$1,0))</f>
        <v>33.464999999999996</v>
      </c>
      <c r="M84" s="5">
        <f t="shared" si="3"/>
        <v>100.39499999999998</v>
      </c>
      <c r="N84" t="str">
        <f t="shared" si="4"/>
        <v>Liberica</v>
      </c>
      <c r="O84" t="str">
        <f t="shared" si="5"/>
        <v>Medium</v>
      </c>
      <c r="P84" t="str">
        <f>_xlfn.XLOOKUP(Table1[[#This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IF(_xlfn.XLOOKUP(C85,customers!$A$1:$A$1001,customers!C84:C1084,,0)=0,"",_xlfn.XLOOKUP(C85,customers!$A$1:$A$1001,customers!C84:C1084,,0))</f>
        <v/>
      </c>
      <c r="H85" s="2" t="str">
        <f>_xlfn.XLOOKUP(orders!C85,customers!$A$1:$A$1001,customers!$G$1:$G$1001,,0)</f>
        <v>United States</v>
      </c>
      <c r="I85" t="str">
        <f>INDEX(products!$A$1:$G$49,MATCH(orders!$D85, products!$A$1:$A$49,0), MATCH(orders!I$1,products!$A$1:$G$1,0))</f>
        <v>Rob</v>
      </c>
      <c r="J85" t="str">
        <f>INDEX(products!$A$1:$G$49,MATCH(orders!$D85, products!$A$1:$A$49,0), MATCH(orders!J$1,products!$A$1:$G$1,0))</f>
        <v>D</v>
      </c>
      <c r="K85" s="4">
        <f>INDEX(products!$A$1:$G$49,MATCH(orders!$D85, products!$A$1:$A$49,0), MATCH(orders!K$1,products!$A$1:$G$1,0))</f>
        <v>2.5</v>
      </c>
      <c r="L85" s="5">
        <f>INDEX(products!$A$1:$G$49,MATCH(orders!$D85, products!$A$1:$A$49,0), MATCH(orders!L$1,products!$A$1:$G$1,0))</f>
        <v>20.584999999999997</v>
      </c>
      <c r="M85" s="5">
        <f t="shared" si="3"/>
        <v>82.339999999999989</v>
      </c>
      <c r="N85" t="str">
        <f t="shared" si="4"/>
        <v>Robusta</v>
      </c>
      <c r="O85" t="str">
        <f t="shared" si="5"/>
        <v>Dark</v>
      </c>
      <c r="P85" t="str">
        <f>_xlfn.XLOOKUP(Table1[[#This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IF(_xlfn.XLOOKUP(C86,customers!$A$1:$A$1001,customers!C85:C1085,,0)=0,"",_xlfn.XLOOKUP(C86,customers!$A$1:$A$1001,customers!C85:C1085,,0))</f>
        <v/>
      </c>
      <c r="H86" s="2" t="str">
        <f>_xlfn.XLOOKUP(orders!C86,customers!$A$1:$A$1001,customers!$G$1:$G$1001,,0)</f>
        <v>United States</v>
      </c>
      <c r="I86" t="str">
        <f>INDEX(products!$A$1:$G$49,MATCH(orders!$D86, products!$A$1:$A$49,0), MATCH(orders!I$1,products!$A$1:$G$1,0))</f>
        <v>Lib</v>
      </c>
      <c r="J86" t="str">
        <f>INDEX(products!$A$1:$G$49,MATCH(orders!$D86, products!$A$1:$A$49,0), MATCH(orders!J$1,products!$A$1:$G$1,0))</f>
        <v>L</v>
      </c>
      <c r="K86" s="4">
        <f>INDEX(products!$A$1:$G$49,MATCH(orders!$D86, products!$A$1:$A$49,0), MATCH(orders!K$1,products!$A$1:$G$1,0))</f>
        <v>0.5</v>
      </c>
      <c r="L86" s="5">
        <f>INDEX(products!$A$1:$G$49,MATCH(orders!$D86, products!$A$1:$A$49,0), MATCH(orders!L$1,products!$A$1:$G$1,0))</f>
        <v>9.51</v>
      </c>
      <c r="M86" s="5">
        <f t="shared" si="3"/>
        <v>9.51</v>
      </c>
      <c r="N86" t="str">
        <f t="shared" si="4"/>
        <v>Liberica</v>
      </c>
      <c r="O86" t="str">
        <f t="shared" si="5"/>
        <v>Light</v>
      </c>
      <c r="P86" t="str">
        <f>_xlfn.XLOOKUP(Table1[[#This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IF(_xlfn.XLOOKUP(C87,customers!$A$1:$A$1001,customers!C86:C1086,,0)=0,"",_xlfn.XLOOKUP(C87,customers!$A$1:$A$1001,customers!C86:C1086,,0))</f>
        <v>searley4q@youku.com</v>
      </c>
      <c r="H87" s="2" t="str">
        <f>_xlfn.XLOOKUP(orders!C87,customers!$A$1:$A$1001,customers!$G$1:$G$1001,,0)</f>
        <v>United States</v>
      </c>
      <c r="I87" t="str">
        <f>INDEX(products!$A$1:$G$49,MATCH(orders!$D87, products!$A$1:$A$49,0), MATCH(orders!I$1,products!$A$1:$G$1,0))</f>
        <v>Ara</v>
      </c>
      <c r="J87" t="str">
        <f>INDEX(products!$A$1:$G$49,MATCH(orders!$D87, products!$A$1:$A$49,0), MATCH(orders!J$1,products!$A$1:$G$1,0))</f>
        <v>L</v>
      </c>
      <c r="K87" s="4">
        <f>INDEX(products!$A$1:$G$49,MATCH(orders!$D87, products!$A$1:$A$49,0), MATCH(orders!K$1,products!$A$1:$G$1,0))</f>
        <v>2.5</v>
      </c>
      <c r="L87" s="5">
        <f>INDEX(products!$A$1:$G$49,MATCH(orders!$D87, products!$A$1:$A$49,0), MATCH(orders!L$1,products!$A$1:$G$1,0))</f>
        <v>29.784999999999997</v>
      </c>
      <c r="M87" s="5">
        <f t="shared" si="3"/>
        <v>89.35499999999999</v>
      </c>
      <c r="N87" t="str">
        <f t="shared" si="4"/>
        <v>Arabica</v>
      </c>
      <c r="O87" t="str">
        <f t="shared" si="5"/>
        <v>Light</v>
      </c>
      <c r="P87" t="str">
        <f>_xlfn.XLOOKUP(Table1[[#This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IF(_xlfn.XLOOKUP(C88,customers!$A$1:$A$1001,customers!C87:C1087,,0)=0,"",_xlfn.XLOOKUP(C88,customers!$A$1:$A$1001,customers!C87:C1087,,0))</f>
        <v>mchamberlayne4r@bigcartel.com</v>
      </c>
      <c r="H88" s="2" t="str">
        <f>_xlfn.XLOOKUP(orders!C88,customers!$A$1:$A$1001,customers!$G$1:$G$1001,,0)</f>
        <v>United States</v>
      </c>
      <c r="I88" t="str">
        <f>INDEX(products!$A$1:$G$49,MATCH(orders!$D88, products!$A$1:$A$49,0), MATCH(orders!I$1,products!$A$1:$G$1,0))</f>
        <v>Ara</v>
      </c>
      <c r="J88" t="str">
        <f>INDEX(products!$A$1:$G$49,MATCH(orders!$D88, products!$A$1:$A$49,0), MATCH(orders!J$1,products!$A$1:$G$1,0))</f>
        <v>D</v>
      </c>
      <c r="K88" s="4">
        <f>INDEX(products!$A$1:$G$49,MATCH(orders!$D88, products!$A$1:$A$49,0), MATCH(orders!K$1,products!$A$1:$G$1,0))</f>
        <v>0.2</v>
      </c>
      <c r="L88" s="5">
        <f>INDEX(products!$A$1:$G$49,MATCH(orders!$D88, products!$A$1:$A$49,0), MATCH(orders!L$1,products!$A$1:$G$1,0))</f>
        <v>2.9849999999999999</v>
      </c>
      <c r="M88" s="5">
        <f t="shared" si="3"/>
        <v>11.94</v>
      </c>
      <c r="N88" t="str">
        <f t="shared" si="4"/>
        <v>Arabica</v>
      </c>
      <c r="O88" t="str">
        <f t="shared" si="5"/>
        <v>Dark</v>
      </c>
      <c r="P88" t="str">
        <f>_xlfn.XLOOKUP(Table1[[#This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IF(_xlfn.XLOOKUP(C89,customers!$A$1:$A$1001,customers!C88:C1088,,0)=0,"",_xlfn.XLOOKUP(C89,customers!$A$1:$A$1001,customers!C88:C1088,,0))</f>
        <v/>
      </c>
      <c r="H89" s="2" t="str">
        <f>_xlfn.XLOOKUP(orders!C89,customers!$A$1:$A$1001,customers!$G$1:$G$1001,,0)</f>
        <v>United States</v>
      </c>
      <c r="I89" t="str">
        <f>INDEX(products!$A$1:$G$49,MATCH(orders!$D89, products!$A$1:$A$49,0), MATCH(orders!I$1,products!$A$1:$G$1,0))</f>
        <v>Ara</v>
      </c>
      <c r="J89" t="str">
        <f>INDEX(products!$A$1:$G$49,MATCH(orders!$D89, products!$A$1:$A$49,0), MATCH(orders!J$1,products!$A$1:$G$1,0))</f>
        <v>M</v>
      </c>
      <c r="K89" s="4">
        <f>INDEX(products!$A$1:$G$49,MATCH(orders!$D89, products!$A$1:$A$49,0), MATCH(orders!K$1,products!$A$1:$G$1,0))</f>
        <v>1</v>
      </c>
      <c r="L89" s="5">
        <f>INDEX(products!$A$1:$G$49,MATCH(orders!$D89, products!$A$1:$A$49,0), MATCH(orders!L$1,products!$A$1:$G$1,0))</f>
        <v>11.25</v>
      </c>
      <c r="M89" s="5">
        <f t="shared" si="3"/>
        <v>33.75</v>
      </c>
      <c r="N89" t="str">
        <f t="shared" si="4"/>
        <v>Arabica</v>
      </c>
      <c r="O89" t="str">
        <f t="shared" si="5"/>
        <v>Medium</v>
      </c>
      <c r="P89" t="str">
        <f>_xlfn.XLOOKUP(Table1[[#This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IF(_xlfn.XLOOKUP(C90,customers!$A$1:$A$1001,customers!C89:C1089,,0)=0,"",_xlfn.XLOOKUP(C90,customers!$A$1:$A$1001,customers!C89:C1089,,0))</f>
        <v>othynne4w@auda.org.au</v>
      </c>
      <c r="H90" s="2" t="str">
        <f>_xlfn.XLOOKUP(orders!C90,customers!$A$1:$A$1001,customers!$G$1:$G$1001,,0)</f>
        <v>United States</v>
      </c>
      <c r="I90" t="str">
        <f>INDEX(products!$A$1:$G$49,MATCH(orders!$D90, products!$A$1:$A$49,0), MATCH(orders!I$1,products!$A$1:$G$1,0))</f>
        <v>Rob</v>
      </c>
      <c r="J90" t="str">
        <f>INDEX(products!$A$1:$G$49,MATCH(orders!$D90, products!$A$1:$A$49,0), MATCH(orders!J$1,products!$A$1:$G$1,0))</f>
        <v>L</v>
      </c>
      <c r="K90" s="4">
        <f>INDEX(products!$A$1:$G$49,MATCH(orders!$D90, products!$A$1:$A$49,0), MATCH(orders!K$1,products!$A$1:$G$1,0))</f>
        <v>1</v>
      </c>
      <c r="L90" s="5">
        <f>INDEX(products!$A$1:$G$49,MATCH(orders!$D90, products!$A$1:$A$49,0), MATCH(orders!L$1,products!$A$1:$G$1,0))</f>
        <v>11.95</v>
      </c>
      <c r="M90" s="5">
        <f t="shared" si="3"/>
        <v>35.849999999999994</v>
      </c>
      <c r="N90" t="str">
        <f t="shared" si="4"/>
        <v>Robusta</v>
      </c>
      <c r="O90" t="str">
        <f t="shared" si="5"/>
        <v>Light</v>
      </c>
      <c r="P90" t="str">
        <f>_xlfn.XLOOKUP(Table1[[#This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IF(_xlfn.XLOOKUP(C91,customers!$A$1:$A$1001,customers!C90:C1090,,0)=0,"",_xlfn.XLOOKUP(C91,customers!$A$1:$A$1001,customers!C90:C1090,,0))</f>
        <v>kmelloi4y@imdb.com</v>
      </c>
      <c r="H91" s="2" t="str">
        <f>_xlfn.XLOOKUP(orders!C91,customers!$A$1:$A$1001,customers!$G$1:$G$1001,,0)</f>
        <v>United States</v>
      </c>
      <c r="I91" t="str">
        <f>INDEX(products!$A$1:$G$49,MATCH(orders!$D91, products!$A$1:$A$49,0), MATCH(orders!I$1,products!$A$1:$G$1,0))</f>
        <v>Ara</v>
      </c>
      <c r="J91" t="str">
        <f>INDEX(products!$A$1:$G$49,MATCH(orders!$D91, products!$A$1:$A$49,0), MATCH(orders!J$1,products!$A$1:$G$1,0))</f>
        <v>L</v>
      </c>
      <c r="K91" s="4">
        <f>INDEX(products!$A$1:$G$49,MATCH(orders!$D91, products!$A$1:$A$49,0), MATCH(orders!K$1,products!$A$1:$G$1,0))</f>
        <v>1</v>
      </c>
      <c r="L91" s="5">
        <f>INDEX(products!$A$1:$G$49,MATCH(orders!$D91, products!$A$1:$A$49,0), MATCH(orders!L$1,products!$A$1:$G$1,0))</f>
        <v>12.95</v>
      </c>
      <c r="M91" s="5">
        <f t="shared" si="3"/>
        <v>77.699999999999989</v>
      </c>
      <c r="N91" t="str">
        <f t="shared" si="4"/>
        <v>Arabica</v>
      </c>
      <c r="O91" t="str">
        <f t="shared" si="5"/>
        <v>Light</v>
      </c>
      <c r="P91" t="str">
        <f>_xlfn.XLOOKUP(Table1[[#This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IF(_xlfn.XLOOKUP(C92,customers!$A$1:$A$1001,customers!C91:C1091,,0)=0,"",_xlfn.XLOOKUP(C92,customers!$A$1:$A$1001,customers!C91:C1091,,0))</f>
        <v>amussen50@51.la</v>
      </c>
      <c r="H92" s="2" t="str">
        <f>_xlfn.XLOOKUP(orders!C92,customers!$A$1:$A$1001,customers!$G$1:$G$1001,,0)</f>
        <v>Ireland</v>
      </c>
      <c r="I92" t="str">
        <f>INDEX(products!$A$1:$G$49,MATCH(orders!$D92, products!$A$1:$A$49,0), MATCH(orders!I$1,products!$A$1:$G$1,0))</f>
        <v>Ara</v>
      </c>
      <c r="J92" t="str">
        <f>INDEX(products!$A$1:$G$49,MATCH(orders!$D92, products!$A$1:$A$49,0), MATCH(orders!J$1,products!$A$1:$G$1,0))</f>
        <v>L</v>
      </c>
      <c r="K92" s="4">
        <f>INDEX(products!$A$1:$G$49,MATCH(orders!$D92, products!$A$1:$A$49,0), MATCH(orders!K$1,products!$A$1:$G$1,0))</f>
        <v>1</v>
      </c>
      <c r="L92" s="5">
        <f>INDEX(products!$A$1:$G$49,MATCH(orders!$D92, products!$A$1:$A$49,0), MATCH(orders!L$1,products!$A$1:$G$1,0))</f>
        <v>12.95</v>
      </c>
      <c r="M92" s="5">
        <f t="shared" si="3"/>
        <v>51.8</v>
      </c>
      <c r="N92" t="str">
        <f t="shared" si="4"/>
        <v>Arabica</v>
      </c>
      <c r="O92" t="str">
        <f t="shared" si="5"/>
        <v>Light</v>
      </c>
      <c r="P92" t="str">
        <f>_xlfn.XLOOKUP(Table1[[#This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IF(_xlfn.XLOOKUP(C93,customers!$A$1:$A$1001,customers!C92:C1092,,0)=0,"",_xlfn.XLOOKUP(C93,customers!$A$1:$A$1001,customers!C92:C1092,,0))</f>
        <v>amundford52@nbcnews.com</v>
      </c>
      <c r="H93" s="2" t="str">
        <f>_xlfn.XLOOKUP(orders!C93,customers!$A$1:$A$1001,customers!$G$1:$G$1001,,0)</f>
        <v>United States</v>
      </c>
      <c r="I93" t="str">
        <f>INDEX(products!$A$1:$G$49,MATCH(orders!$D93, products!$A$1:$A$49,0), MATCH(orders!I$1,products!$A$1:$G$1,0))</f>
        <v>Ara</v>
      </c>
      <c r="J93" t="str">
        <f>INDEX(products!$A$1:$G$49,MATCH(orders!$D93, products!$A$1:$A$49,0), MATCH(orders!J$1,products!$A$1:$G$1,0))</f>
        <v>M</v>
      </c>
      <c r="K93" s="4">
        <f>INDEX(products!$A$1:$G$49,MATCH(orders!$D93, products!$A$1:$A$49,0), MATCH(orders!K$1,products!$A$1:$G$1,0))</f>
        <v>2.5</v>
      </c>
      <c r="L93" s="5">
        <f>INDEX(products!$A$1:$G$49,MATCH(orders!$D93, products!$A$1:$A$49,0), MATCH(orders!L$1,products!$A$1:$G$1,0))</f>
        <v>25.874999999999996</v>
      </c>
      <c r="M93" s="5">
        <f t="shared" si="3"/>
        <v>103.49999999999999</v>
      </c>
      <c r="N93" t="str">
        <f t="shared" si="4"/>
        <v>Arabica</v>
      </c>
      <c r="O93" t="str">
        <f t="shared" si="5"/>
        <v>Medium</v>
      </c>
      <c r="P93" t="str">
        <f>_xlfn.XLOOKUP(Table1[[#This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IF(_xlfn.XLOOKUP(C94,customers!$A$1:$A$1001,customers!C93:C1093,,0)=0,"",_xlfn.XLOOKUP(C94,customers!$A$1:$A$1001,customers!C93:C1093,,0))</f>
        <v>iblazewicz54@thetimes.co.uk</v>
      </c>
      <c r="H94" s="2" t="str">
        <f>_xlfn.XLOOKUP(orders!C94,customers!$A$1:$A$1001,customers!$G$1:$G$1001,,0)</f>
        <v>United States</v>
      </c>
      <c r="I94" t="str">
        <f>INDEX(products!$A$1:$G$49,MATCH(orders!$D94, products!$A$1:$A$49,0), MATCH(orders!I$1,products!$A$1:$G$1,0))</f>
        <v>Exc</v>
      </c>
      <c r="J94" t="str">
        <f>INDEX(products!$A$1:$G$49,MATCH(orders!$D94, products!$A$1:$A$49,0), MATCH(orders!J$1,products!$A$1:$G$1,0))</f>
        <v>L</v>
      </c>
      <c r="K94" s="4">
        <f>INDEX(products!$A$1:$G$49,MATCH(orders!$D94, products!$A$1:$A$49,0), MATCH(orders!K$1,products!$A$1:$G$1,0))</f>
        <v>1</v>
      </c>
      <c r="L94" s="5">
        <f>INDEX(products!$A$1:$G$49,MATCH(orders!$D94, products!$A$1:$A$49,0), MATCH(orders!L$1,products!$A$1:$G$1,0))</f>
        <v>14.85</v>
      </c>
      <c r="M94" s="5">
        <f t="shared" si="3"/>
        <v>44.55</v>
      </c>
      <c r="N94" t="str">
        <f t="shared" si="4"/>
        <v>Excelsa</v>
      </c>
      <c r="O94" t="str">
        <f t="shared" si="5"/>
        <v>Light</v>
      </c>
      <c r="P94" t="str">
        <f>_xlfn.XLOOKUP(Table1[[#This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IF(_xlfn.XLOOKUP(C95,customers!$A$1:$A$1001,customers!C94:C1094,,0)=0,"",_xlfn.XLOOKUP(C95,customers!$A$1:$A$1001,customers!C94:C1094,,0))</f>
        <v>mmeriet56@noaa.gov</v>
      </c>
      <c r="H95" s="2" t="str">
        <f>_xlfn.XLOOKUP(orders!C95,customers!$A$1:$A$1001,customers!$G$1:$G$1001,,0)</f>
        <v>United Kingdom</v>
      </c>
      <c r="I95" t="str">
        <f>INDEX(products!$A$1:$G$49,MATCH(orders!$D95, products!$A$1:$A$49,0), MATCH(orders!I$1,products!$A$1:$G$1,0))</f>
        <v>Exc</v>
      </c>
      <c r="J95" t="str">
        <f>INDEX(products!$A$1:$G$49,MATCH(orders!$D95, products!$A$1:$A$49,0), MATCH(orders!J$1,products!$A$1:$G$1,0))</f>
        <v>L</v>
      </c>
      <c r="K95" s="4">
        <f>INDEX(products!$A$1:$G$49,MATCH(orders!$D95, products!$A$1:$A$49,0), MATCH(orders!K$1,products!$A$1:$G$1,0))</f>
        <v>0.5</v>
      </c>
      <c r="L95" s="5">
        <f>INDEX(products!$A$1:$G$49,MATCH(orders!$D95, products!$A$1:$A$49,0), MATCH(orders!L$1,products!$A$1:$G$1,0))</f>
        <v>8.91</v>
      </c>
      <c r="M95" s="5">
        <f t="shared" si="3"/>
        <v>35.64</v>
      </c>
      <c r="N95" t="str">
        <f t="shared" si="4"/>
        <v>Excelsa</v>
      </c>
      <c r="O95" t="str">
        <f t="shared" si="5"/>
        <v>Light</v>
      </c>
      <c r="P95" t="str">
        <f>_xlfn.XLOOKUP(Table1[[#This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IF(_xlfn.XLOOKUP(C96,customers!$A$1:$A$1001,customers!C95:C1095,,0)=0,"",_xlfn.XLOOKUP(C96,customers!$A$1:$A$1001,customers!C95:C1095,,0))</f>
        <v>akitchingham58@com.com</v>
      </c>
      <c r="H96" s="2" t="str">
        <f>_xlfn.XLOOKUP(orders!C96,customers!$A$1:$A$1001,customers!$G$1:$G$1001,,0)</f>
        <v>Ireland</v>
      </c>
      <c r="I96" t="str">
        <f>INDEX(products!$A$1:$G$49,MATCH(orders!$D96, products!$A$1:$A$49,0), MATCH(orders!I$1,products!$A$1:$G$1,0))</f>
        <v>Ara</v>
      </c>
      <c r="J96" t="str">
        <f>INDEX(products!$A$1:$G$49,MATCH(orders!$D96, products!$A$1:$A$49,0), MATCH(orders!J$1,products!$A$1:$G$1,0))</f>
        <v>D</v>
      </c>
      <c r="K96" s="4">
        <f>INDEX(products!$A$1:$G$49,MATCH(orders!$D96, products!$A$1:$A$49,0), MATCH(orders!K$1,products!$A$1:$G$1,0))</f>
        <v>0.2</v>
      </c>
      <c r="L96" s="5">
        <f>INDEX(products!$A$1:$G$49,MATCH(orders!$D96, products!$A$1:$A$49,0), MATCH(orders!L$1,products!$A$1:$G$1,0))</f>
        <v>2.9849999999999999</v>
      </c>
      <c r="M96" s="5">
        <f t="shared" si="3"/>
        <v>17.91</v>
      </c>
      <c r="N96" t="str">
        <f t="shared" si="4"/>
        <v>Arabica</v>
      </c>
      <c r="O96" t="str">
        <f t="shared" si="5"/>
        <v>Dark</v>
      </c>
      <c r="P96" t="str">
        <f>_xlfn.XLOOKUP(Table1[[#This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IF(_xlfn.XLOOKUP(C97,customers!$A$1:$A$1001,customers!C96:C1096,,0)=0,"",_xlfn.XLOOKUP(C97,customers!$A$1:$A$1001,customers!C96:C1096,,0))</f>
        <v>mprinn5a@usa.gov</v>
      </c>
      <c r="H97" s="2" t="str">
        <f>_xlfn.XLOOKUP(orders!C97,customers!$A$1:$A$1001,customers!$G$1:$G$1001,,0)</f>
        <v>United States</v>
      </c>
      <c r="I97" t="str">
        <f>INDEX(products!$A$1:$G$49,MATCH(orders!$D97, products!$A$1:$A$49,0), MATCH(orders!I$1,products!$A$1:$G$1,0))</f>
        <v>Ara</v>
      </c>
      <c r="J97" t="str">
        <f>INDEX(products!$A$1:$G$49,MATCH(orders!$D97, products!$A$1:$A$49,0), MATCH(orders!J$1,products!$A$1:$G$1,0))</f>
        <v>M</v>
      </c>
      <c r="K97" s="4">
        <f>INDEX(products!$A$1:$G$49,MATCH(orders!$D97, products!$A$1:$A$49,0), MATCH(orders!K$1,products!$A$1:$G$1,0))</f>
        <v>2.5</v>
      </c>
      <c r="L97" s="5">
        <f>INDEX(products!$A$1:$G$49,MATCH(orders!$D97, products!$A$1:$A$49,0), MATCH(orders!L$1,products!$A$1:$G$1,0))</f>
        <v>25.874999999999996</v>
      </c>
      <c r="M97" s="5">
        <f t="shared" si="3"/>
        <v>155.24999999999997</v>
      </c>
      <c r="N97" t="str">
        <f t="shared" si="4"/>
        <v>Arabica</v>
      </c>
      <c r="O97" t="str">
        <f t="shared" si="5"/>
        <v>Medium</v>
      </c>
      <c r="P97" t="str">
        <f>_xlfn.XLOOKUP(Table1[[#This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IF(_xlfn.XLOOKUP(C98,customers!$A$1:$A$1001,customers!C97:C1097,,0)=0,"",_xlfn.XLOOKUP(C98,customers!$A$1:$A$1001,customers!C97:C1097,,0))</f>
        <v>ppetrushanko5c@blinklist.com</v>
      </c>
      <c r="H98" s="2" t="str">
        <f>_xlfn.XLOOKUP(orders!C98,customers!$A$1:$A$1001,customers!$G$1:$G$1001,,0)</f>
        <v>United States</v>
      </c>
      <c r="I98" t="str">
        <f>INDEX(products!$A$1:$G$49,MATCH(orders!$D98, products!$A$1:$A$49,0), MATCH(orders!I$1,products!$A$1:$G$1,0))</f>
        <v>Ara</v>
      </c>
      <c r="J98" t="str">
        <f>INDEX(products!$A$1:$G$49,MATCH(orders!$D98, products!$A$1:$A$49,0), MATCH(orders!J$1,products!$A$1:$G$1,0))</f>
        <v>D</v>
      </c>
      <c r="K98" s="4">
        <f>INDEX(products!$A$1:$G$49,MATCH(orders!$D98, products!$A$1:$A$49,0), MATCH(orders!K$1,products!$A$1:$G$1,0))</f>
        <v>0.2</v>
      </c>
      <c r="L98" s="5">
        <f>INDEX(products!$A$1:$G$49,MATCH(orders!$D98, products!$A$1:$A$49,0), MATCH(orders!L$1,products!$A$1:$G$1,0))</f>
        <v>2.9849999999999999</v>
      </c>
      <c r="M98" s="5">
        <f t="shared" si="3"/>
        <v>5.97</v>
      </c>
      <c r="N98" t="str">
        <f t="shared" si="4"/>
        <v>Arabica</v>
      </c>
      <c r="O98" t="str">
        <f t="shared" si="5"/>
        <v>Dark</v>
      </c>
      <c r="P98" t="str">
        <f>_xlfn.XLOOKUP(Table1[[#This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IF(_xlfn.XLOOKUP(C99,customers!$A$1:$A$1001,customers!C98:C1098,,0)=0,"",_xlfn.XLOOKUP(C99,customers!$A$1:$A$1001,customers!C98:C1098,,0))</f>
        <v>elaird5e@bing.com</v>
      </c>
      <c r="H99" s="2" t="str">
        <f>_xlfn.XLOOKUP(orders!C99,customers!$A$1:$A$1001,customers!$G$1:$G$1001,,0)</f>
        <v>United States</v>
      </c>
      <c r="I99" t="str">
        <f>INDEX(products!$A$1:$G$49,MATCH(orders!$D99, products!$A$1:$A$49,0), MATCH(orders!I$1,products!$A$1:$G$1,0))</f>
        <v>Ara</v>
      </c>
      <c r="J99" t="str">
        <f>INDEX(products!$A$1:$G$49,MATCH(orders!$D99, products!$A$1:$A$49,0), MATCH(orders!J$1,products!$A$1:$G$1,0))</f>
        <v>M</v>
      </c>
      <c r="K99" s="4">
        <f>INDEX(products!$A$1:$G$49,MATCH(orders!$D99, products!$A$1:$A$49,0), MATCH(orders!K$1,products!$A$1:$G$1,0))</f>
        <v>0.5</v>
      </c>
      <c r="L99" s="5">
        <f>INDEX(products!$A$1:$G$49,MATCH(orders!$D99, products!$A$1:$A$49,0), MATCH(orders!L$1,products!$A$1:$G$1,0))</f>
        <v>6.75</v>
      </c>
      <c r="M99" s="5">
        <f t="shared" si="3"/>
        <v>13.5</v>
      </c>
      <c r="N99" t="str">
        <f t="shared" si="4"/>
        <v>Arabica</v>
      </c>
      <c r="O99" t="str">
        <f t="shared" si="5"/>
        <v>Medium</v>
      </c>
      <c r="P99" t="str">
        <f>_xlfn.XLOOKUP(Table1[[#This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IF(_xlfn.XLOOKUP(C100,customers!$A$1:$A$1001,customers!C99:C1099,,0)=0,"",_xlfn.XLOOKUP(C100,customers!$A$1:$A$1001,customers!C99:C1099,,0))</f>
        <v>ncuttler5g@parallels.com</v>
      </c>
      <c r="H100" s="2" t="str">
        <f>_xlfn.XLOOKUP(orders!C100,customers!$A$1:$A$1001,customers!$G$1:$G$1001,,0)</f>
        <v>Ireland</v>
      </c>
      <c r="I100" t="str">
        <f>INDEX(products!$A$1:$G$49,MATCH(orders!$D100, products!$A$1:$A$49,0), MATCH(orders!I$1,products!$A$1:$G$1,0))</f>
        <v>Ara</v>
      </c>
      <c r="J100" t="str">
        <f>INDEX(products!$A$1:$G$49,MATCH(orders!$D100, products!$A$1:$A$49,0), MATCH(orders!J$1,products!$A$1:$G$1,0))</f>
        <v>D</v>
      </c>
      <c r="K100" s="4">
        <f>INDEX(products!$A$1:$G$49,MATCH(orders!$D100, products!$A$1:$A$49,0), MATCH(orders!K$1,products!$A$1:$G$1,0))</f>
        <v>0.2</v>
      </c>
      <c r="L100" s="5">
        <f>INDEX(products!$A$1:$G$49,MATCH(orders!$D100, products!$A$1:$A$49,0), MATCH(orders!L$1,products!$A$1:$G$1,0))</f>
        <v>2.9849999999999999</v>
      </c>
      <c r="M100" s="5">
        <f t="shared" si="3"/>
        <v>2.9849999999999999</v>
      </c>
      <c r="N100" t="str">
        <f t="shared" si="4"/>
        <v>Arabica</v>
      </c>
      <c r="O100" t="str">
        <f t="shared" si="5"/>
        <v>Dark</v>
      </c>
      <c r="P100" t="str">
        <f>_xlfn.XLOOKUP(Table1[[#This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IF(_xlfn.XLOOKUP(C101,customers!$A$1:$A$1001,customers!C100:C1100,,0)=0,"",_xlfn.XLOOKUP(C101,customers!$A$1:$A$1001,customers!C100:C1100,,0))</f>
        <v>jmunnings5i@springer.com</v>
      </c>
      <c r="H101" s="2" t="str">
        <f>_xlfn.XLOOKUP(orders!C101,customers!$A$1:$A$1001,customers!$G$1:$G$1001,,0)</f>
        <v>United States</v>
      </c>
      <c r="I101" t="str">
        <f>INDEX(products!$A$1:$G$49,MATCH(orders!$D101, products!$A$1:$A$49,0), MATCH(orders!I$1,products!$A$1:$G$1,0))</f>
        <v>Lib</v>
      </c>
      <c r="J101" t="str">
        <f>INDEX(products!$A$1:$G$49,MATCH(orders!$D101, products!$A$1:$A$49,0), MATCH(orders!J$1,products!$A$1:$G$1,0))</f>
        <v>M</v>
      </c>
      <c r="K101" s="4">
        <f>INDEX(products!$A$1:$G$49,MATCH(orders!$D101, products!$A$1:$A$49,0), MATCH(orders!K$1,products!$A$1:$G$1,0))</f>
        <v>0.2</v>
      </c>
      <c r="L101" s="5">
        <f>INDEX(products!$A$1:$G$49,MATCH(orders!$D101, products!$A$1:$A$49,0), MATCH(orders!L$1,products!$A$1:$G$1,0))</f>
        <v>4.3650000000000002</v>
      </c>
      <c r="M101" s="5">
        <f t="shared" si="3"/>
        <v>13.095000000000001</v>
      </c>
      <c r="N101" t="str">
        <f t="shared" si="4"/>
        <v>Liberica</v>
      </c>
      <c r="O101" t="str">
        <f t="shared" si="5"/>
        <v>Medium</v>
      </c>
      <c r="P101" t="str">
        <f>_xlfn.XLOOKUP(Table1[[#This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IF(_xlfn.XLOOKUP(C102,customers!$A$1:$A$1001,customers!C101:C1101,,0)=0,"",_xlfn.XLOOKUP(C102,customers!$A$1:$A$1001,customers!C101:C1101,,0))</f>
        <v>idunwoody5k@sourceforge.net</v>
      </c>
      <c r="H102" s="2" t="str">
        <f>_xlfn.XLOOKUP(orders!C102,customers!$A$1:$A$1001,customers!$G$1:$G$1001,,0)</f>
        <v>United States</v>
      </c>
      <c r="I102" t="str">
        <f>INDEX(products!$A$1:$G$49,MATCH(orders!$D102, products!$A$1:$A$49,0), MATCH(orders!I$1,products!$A$1:$G$1,0))</f>
        <v>Ara</v>
      </c>
      <c r="J102" t="str">
        <f>INDEX(products!$A$1:$G$49,MATCH(orders!$D102, products!$A$1:$A$49,0), MATCH(orders!J$1,products!$A$1:$G$1,0))</f>
        <v>L</v>
      </c>
      <c r="K102" s="4">
        <f>INDEX(products!$A$1:$G$49,MATCH(orders!$D102, products!$A$1:$A$49,0), MATCH(orders!K$1,products!$A$1:$G$1,0))</f>
        <v>0.2</v>
      </c>
      <c r="L102" s="5">
        <f>INDEX(products!$A$1:$G$49,MATCH(orders!$D102, products!$A$1:$A$49,0), MATCH(orders!L$1,products!$A$1:$G$1,0))</f>
        <v>3.8849999999999998</v>
      </c>
      <c r="M102" s="5">
        <f t="shared" si="3"/>
        <v>7.77</v>
      </c>
      <c r="N102" t="str">
        <f t="shared" si="4"/>
        <v>Arabica</v>
      </c>
      <c r="O102" t="str">
        <f t="shared" si="5"/>
        <v>Light</v>
      </c>
      <c r="P102" t="str">
        <f>_xlfn.XLOOKUP(Table1[[#This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IF(_xlfn.XLOOKUP(C103,customers!$A$1:$A$1001,customers!C102:C1102,,0)=0,"",_xlfn.XLOOKUP(C103,customers!$A$1:$A$1001,customers!C102:C1102,,0))</f>
        <v>tfelip5m@typepad.com</v>
      </c>
      <c r="H103" s="2" t="str">
        <f>_xlfn.XLOOKUP(orders!C103,customers!$A$1:$A$1001,customers!$G$1:$G$1001,,0)</f>
        <v>Ireland</v>
      </c>
      <c r="I103" t="str">
        <f>INDEX(products!$A$1:$G$49,MATCH(orders!$D103, products!$A$1:$A$49,0), MATCH(orders!I$1,products!$A$1:$G$1,0))</f>
        <v>Lib</v>
      </c>
      <c r="J103" t="str">
        <f>INDEX(products!$A$1:$G$49,MATCH(orders!$D103, products!$A$1:$A$49,0), MATCH(orders!J$1,products!$A$1:$G$1,0))</f>
        <v>D</v>
      </c>
      <c r="K103" s="4">
        <f>INDEX(products!$A$1:$G$49,MATCH(orders!$D103, products!$A$1:$A$49,0), MATCH(orders!K$1,products!$A$1:$G$1,0))</f>
        <v>2.5</v>
      </c>
      <c r="L103" s="5">
        <f>INDEX(products!$A$1:$G$49,MATCH(orders!$D103, products!$A$1:$A$49,0), MATCH(orders!L$1,products!$A$1:$G$1,0))</f>
        <v>29.784999999999997</v>
      </c>
      <c r="M103" s="5">
        <f t="shared" si="3"/>
        <v>148.92499999999998</v>
      </c>
      <c r="N103" t="str">
        <f t="shared" si="4"/>
        <v>Liberica</v>
      </c>
      <c r="O103" t="str">
        <f t="shared" si="5"/>
        <v>Dark</v>
      </c>
      <c r="P103" t="str">
        <f>_xlfn.XLOOKUP(Table1[[#This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IF(_xlfn.XLOOKUP(C104,customers!$A$1:$A$1001,customers!C103:C1103,,0)=0,"",_xlfn.XLOOKUP(C104,customers!$A$1:$A$1001,customers!C103:C1103,,0))</f>
        <v/>
      </c>
      <c r="H104" s="2" t="str">
        <f>_xlfn.XLOOKUP(orders!C104,customers!$A$1:$A$1001,customers!$G$1:$G$1001,,0)</f>
        <v>Ireland</v>
      </c>
      <c r="I104" t="str">
        <f>INDEX(products!$A$1:$G$49,MATCH(orders!$D104, products!$A$1:$A$49,0), MATCH(orders!I$1,products!$A$1:$G$1,0))</f>
        <v>Lib</v>
      </c>
      <c r="J104" t="str">
        <f>INDEX(products!$A$1:$G$49,MATCH(orders!$D104, products!$A$1:$A$49,0), MATCH(orders!J$1,products!$A$1:$G$1,0))</f>
        <v>D</v>
      </c>
      <c r="K104" s="4">
        <f>INDEX(products!$A$1:$G$49,MATCH(orders!$D104, products!$A$1:$A$49,0), MATCH(orders!K$1,products!$A$1:$G$1,0))</f>
        <v>1</v>
      </c>
      <c r="L104" s="5">
        <f>INDEX(products!$A$1:$G$49,MATCH(orders!$D104, products!$A$1:$A$49,0), MATCH(orders!L$1,products!$A$1:$G$1,0))</f>
        <v>12.95</v>
      </c>
      <c r="M104" s="5">
        <f t="shared" si="3"/>
        <v>38.849999999999994</v>
      </c>
      <c r="N104" t="str">
        <f t="shared" si="4"/>
        <v>Liberica</v>
      </c>
      <c r="O104" t="str">
        <f t="shared" si="5"/>
        <v>Dark</v>
      </c>
      <c r="P104" t="str">
        <f>_xlfn.XLOOKUP(Table1[[#This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IF(_xlfn.XLOOKUP(C105,customers!$A$1:$A$1001,customers!C104:C1104,,0)=0,"",_xlfn.XLOOKUP(C105,customers!$A$1:$A$1001,customers!C104:C1104,,0))</f>
        <v>npoolman5q@howstuffworks.com</v>
      </c>
      <c r="H105" s="2" t="str">
        <f>_xlfn.XLOOKUP(orders!C105,customers!$A$1:$A$1001,customers!$G$1:$G$1001,,0)</f>
        <v>United States</v>
      </c>
      <c r="I105" t="str">
        <f>INDEX(products!$A$1:$G$49,MATCH(orders!$D105, products!$A$1:$A$49,0), MATCH(orders!I$1,products!$A$1:$G$1,0))</f>
        <v>Rob</v>
      </c>
      <c r="J105" t="str">
        <f>INDEX(products!$A$1:$G$49,MATCH(orders!$D105, products!$A$1:$A$49,0), MATCH(orders!J$1,products!$A$1:$G$1,0))</f>
        <v>M</v>
      </c>
      <c r="K105" s="4">
        <f>INDEX(products!$A$1:$G$49,MATCH(orders!$D105, products!$A$1:$A$49,0), MATCH(orders!K$1,products!$A$1:$G$1,0))</f>
        <v>0.2</v>
      </c>
      <c r="L105" s="5">
        <f>INDEX(products!$A$1:$G$49,MATCH(orders!$D105, products!$A$1:$A$49,0), MATCH(orders!L$1,products!$A$1:$G$1,0))</f>
        <v>2.9849999999999999</v>
      </c>
      <c r="M105" s="5">
        <f t="shared" si="3"/>
        <v>11.94</v>
      </c>
      <c r="N105" t="str">
        <f t="shared" si="4"/>
        <v>Robusta</v>
      </c>
      <c r="O105" t="str">
        <f t="shared" si="5"/>
        <v>Medium</v>
      </c>
      <c r="P105" t="str">
        <f>_xlfn.XLOOKUP(Table1[[#This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IF(_xlfn.XLOOKUP(C106,customers!$A$1:$A$1001,customers!C105:C1105,,0)=0,"",_xlfn.XLOOKUP(C106,customers!$A$1:$A$1001,customers!C105:C1105,,0))</f>
        <v>chalfhide5s@google.ru</v>
      </c>
      <c r="H106" s="2" t="str">
        <f>_xlfn.XLOOKUP(orders!C106,customers!$A$1:$A$1001,customers!$G$1:$G$1001,,0)</f>
        <v>United States</v>
      </c>
      <c r="I106" t="str">
        <f>INDEX(products!$A$1:$G$49,MATCH(orders!$D106, products!$A$1:$A$49,0), MATCH(orders!I$1,products!$A$1:$G$1,0))</f>
        <v>Lib</v>
      </c>
      <c r="J106" t="str">
        <f>INDEX(products!$A$1:$G$49,MATCH(orders!$D106, products!$A$1:$A$49,0), MATCH(orders!J$1,products!$A$1:$G$1,0))</f>
        <v>M</v>
      </c>
      <c r="K106" s="4">
        <f>INDEX(products!$A$1:$G$49,MATCH(orders!$D106, products!$A$1:$A$49,0), MATCH(orders!K$1,products!$A$1:$G$1,0))</f>
        <v>1</v>
      </c>
      <c r="L106" s="5">
        <f>INDEX(products!$A$1:$G$49,MATCH(orders!$D106, products!$A$1:$A$49,0), MATCH(orders!L$1,products!$A$1:$G$1,0))</f>
        <v>14.55</v>
      </c>
      <c r="M106" s="5">
        <f t="shared" si="3"/>
        <v>87.300000000000011</v>
      </c>
      <c r="N106" t="str">
        <f t="shared" si="4"/>
        <v>Liberica</v>
      </c>
      <c r="O106" t="str">
        <f t="shared" si="5"/>
        <v>Medium</v>
      </c>
      <c r="P106" t="str">
        <f>_xlfn.XLOOKUP(Table1[[#This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IF(_xlfn.XLOOKUP(C107,customers!$A$1:$A$1001,customers!C106:C1106,,0)=0,"",_xlfn.XLOOKUP(C107,customers!$A$1:$A$1001,customers!C106:C1106,,0))</f>
        <v>aattwater5u@wikia.com</v>
      </c>
      <c r="H107" s="2" t="str">
        <f>_xlfn.XLOOKUP(orders!C107,customers!$A$1:$A$1001,customers!$G$1:$G$1001,,0)</f>
        <v>United States</v>
      </c>
      <c r="I107" t="str">
        <f>INDEX(products!$A$1:$G$49,MATCH(orders!$D107, products!$A$1:$A$49,0), MATCH(orders!I$1,products!$A$1:$G$1,0))</f>
        <v>Ara</v>
      </c>
      <c r="J107" t="str">
        <f>INDEX(products!$A$1:$G$49,MATCH(orders!$D107, products!$A$1:$A$49,0), MATCH(orders!J$1,products!$A$1:$G$1,0))</f>
        <v>M</v>
      </c>
      <c r="K107" s="4">
        <f>INDEX(products!$A$1:$G$49,MATCH(orders!$D107, products!$A$1:$A$49,0), MATCH(orders!K$1,products!$A$1:$G$1,0))</f>
        <v>0.5</v>
      </c>
      <c r="L107" s="5">
        <f>INDEX(products!$A$1:$G$49,MATCH(orders!$D107, products!$A$1:$A$49,0), MATCH(orders!L$1,products!$A$1:$G$1,0))</f>
        <v>6.75</v>
      </c>
      <c r="M107" s="5">
        <f t="shared" si="3"/>
        <v>40.5</v>
      </c>
      <c r="N107" t="str">
        <f t="shared" si="4"/>
        <v>Arabica</v>
      </c>
      <c r="O107" t="str">
        <f t="shared" si="5"/>
        <v>Medium</v>
      </c>
      <c r="P107" t="str">
        <f>_xlfn.XLOOKUP(Table1[[#This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IF(_xlfn.XLOOKUP(C108,customers!$A$1:$A$1001,customers!C107:C1107,,0)=0,"",_xlfn.XLOOKUP(C108,customers!$A$1:$A$1001,customers!C107:C1107,,0))</f>
        <v>dcamilletti5w@businesswire.com</v>
      </c>
      <c r="H108" s="2" t="str">
        <f>_xlfn.XLOOKUP(orders!C108,customers!$A$1:$A$1001,customers!$G$1:$G$1001,,0)</f>
        <v>United States</v>
      </c>
      <c r="I108" t="str">
        <f>INDEX(products!$A$1:$G$49,MATCH(orders!$D108, products!$A$1:$A$49,0), MATCH(orders!I$1,products!$A$1:$G$1,0))</f>
        <v>Exc</v>
      </c>
      <c r="J108" t="str">
        <f>INDEX(products!$A$1:$G$49,MATCH(orders!$D108, products!$A$1:$A$49,0), MATCH(orders!J$1,products!$A$1:$G$1,0))</f>
        <v>D</v>
      </c>
      <c r="K108" s="4">
        <f>INDEX(products!$A$1:$G$49,MATCH(orders!$D108, products!$A$1:$A$49,0), MATCH(orders!K$1,products!$A$1:$G$1,0))</f>
        <v>1</v>
      </c>
      <c r="L108" s="5">
        <f>INDEX(products!$A$1:$G$49,MATCH(orders!$D108, products!$A$1:$A$49,0), MATCH(orders!L$1,products!$A$1:$G$1,0))</f>
        <v>12.15</v>
      </c>
      <c r="M108" s="5">
        <f t="shared" si="3"/>
        <v>24.3</v>
      </c>
      <c r="N108" t="str">
        <f t="shared" si="4"/>
        <v>Excelsa</v>
      </c>
      <c r="O108" t="str">
        <f t="shared" si="5"/>
        <v>Dark</v>
      </c>
      <c r="P108" t="str">
        <f>_xlfn.XLOOKUP(Table1[[#This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IF(_xlfn.XLOOKUP(C109,customers!$A$1:$A$1001,customers!C108:C1108,,0)=0,"",_xlfn.XLOOKUP(C109,customers!$A$1:$A$1001,customers!C108:C1108,,0))</f>
        <v>mhame5y@newsvine.com</v>
      </c>
      <c r="H109" s="2" t="str">
        <f>_xlfn.XLOOKUP(orders!C109,customers!$A$1:$A$1001,customers!$G$1:$G$1001,,0)</f>
        <v>United States</v>
      </c>
      <c r="I109" t="str">
        <f>INDEX(products!$A$1:$G$49,MATCH(orders!$D109, products!$A$1:$A$49,0), MATCH(orders!I$1,products!$A$1:$G$1,0))</f>
        <v>Rob</v>
      </c>
      <c r="J109" t="str">
        <f>INDEX(products!$A$1:$G$49,MATCH(orders!$D109, products!$A$1:$A$49,0), MATCH(orders!J$1,products!$A$1:$G$1,0))</f>
        <v>M</v>
      </c>
      <c r="K109" s="4">
        <f>INDEX(products!$A$1:$G$49,MATCH(orders!$D109, products!$A$1:$A$49,0), MATCH(orders!K$1,products!$A$1:$G$1,0))</f>
        <v>0.5</v>
      </c>
      <c r="L109" s="5">
        <f>INDEX(products!$A$1:$G$49,MATCH(orders!$D109, products!$A$1:$A$49,0), MATCH(orders!L$1,products!$A$1:$G$1,0))</f>
        <v>5.97</v>
      </c>
      <c r="M109" s="5">
        <f t="shared" si="3"/>
        <v>17.91</v>
      </c>
      <c r="N109" t="str">
        <f t="shared" si="4"/>
        <v>Robusta</v>
      </c>
      <c r="O109" t="str">
        <f t="shared" si="5"/>
        <v>Medium</v>
      </c>
      <c r="P109" t="str">
        <f>_xlfn.XLOOKUP(Table1[[#This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IF(_xlfn.XLOOKUP(C110,customers!$A$1:$A$1001,customers!C109:C1109,,0)=0,"",_xlfn.XLOOKUP(C110,customers!$A$1:$A$1001,customers!C109:C1109,,0))</f>
        <v>asnowding60@comsenz.com</v>
      </c>
      <c r="H110" s="2" t="str">
        <f>_xlfn.XLOOKUP(orders!C110,customers!$A$1:$A$1001,customers!$G$1:$G$1001,,0)</f>
        <v>United States</v>
      </c>
      <c r="I110" t="str">
        <f>INDEX(products!$A$1:$G$49,MATCH(orders!$D110, products!$A$1:$A$49,0), MATCH(orders!I$1,products!$A$1:$G$1,0))</f>
        <v>Ara</v>
      </c>
      <c r="J110" t="str">
        <f>INDEX(products!$A$1:$G$49,MATCH(orders!$D110, products!$A$1:$A$49,0), MATCH(orders!J$1,products!$A$1:$G$1,0))</f>
        <v>M</v>
      </c>
      <c r="K110" s="4">
        <f>INDEX(products!$A$1:$G$49,MATCH(orders!$D110, products!$A$1:$A$49,0), MATCH(orders!K$1,products!$A$1:$G$1,0))</f>
        <v>0.5</v>
      </c>
      <c r="L110" s="5">
        <f>INDEX(products!$A$1:$G$49,MATCH(orders!$D110, products!$A$1:$A$49,0), MATCH(orders!L$1,products!$A$1:$G$1,0))</f>
        <v>6.75</v>
      </c>
      <c r="M110" s="5">
        <f t="shared" si="3"/>
        <v>27</v>
      </c>
      <c r="N110" t="str">
        <f t="shared" si="4"/>
        <v>Arabica</v>
      </c>
      <c r="O110" t="str">
        <f t="shared" si="5"/>
        <v>Medium</v>
      </c>
      <c r="P110" t="str">
        <f>_xlfn.XLOOKUP(Table1[[#This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IF(_xlfn.XLOOKUP(C111,customers!$A$1:$A$1001,customers!C110:C1110,,0)=0,"",_xlfn.XLOOKUP(C111,customers!$A$1:$A$1001,customers!C110:C1110,,0))</f>
        <v>rfurman62@t.co</v>
      </c>
      <c r="H111" s="2" t="str">
        <f>_xlfn.XLOOKUP(orders!C111,customers!$A$1:$A$1001,customers!$G$1:$G$1001,,0)</f>
        <v>United States</v>
      </c>
      <c r="I111" t="str">
        <f>INDEX(products!$A$1:$G$49,MATCH(orders!$D111, products!$A$1:$A$49,0), MATCH(orders!I$1,products!$A$1:$G$1,0))</f>
        <v>Lib</v>
      </c>
      <c r="J111" t="str">
        <f>INDEX(products!$A$1:$G$49,MATCH(orders!$D111, products!$A$1:$A$49,0), MATCH(orders!J$1,products!$A$1:$G$1,0))</f>
        <v>D</v>
      </c>
      <c r="K111" s="4">
        <f>INDEX(products!$A$1:$G$49,MATCH(orders!$D111, products!$A$1:$A$49,0), MATCH(orders!K$1,products!$A$1:$G$1,0))</f>
        <v>0.5</v>
      </c>
      <c r="L111" s="5">
        <f>INDEX(products!$A$1:$G$49,MATCH(orders!$D111, products!$A$1:$A$49,0), MATCH(orders!L$1,products!$A$1:$G$1,0))</f>
        <v>7.77</v>
      </c>
      <c r="M111" s="5">
        <f t="shared" si="3"/>
        <v>7.77</v>
      </c>
      <c r="N111" t="str">
        <f t="shared" si="4"/>
        <v>Liberica</v>
      </c>
      <c r="O111" t="str">
        <f t="shared" si="5"/>
        <v>Dark</v>
      </c>
      <c r="P111" t="str">
        <f>_xlfn.XLOOKUP(Table1[[#This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IF(_xlfn.XLOOKUP(C112,customers!$A$1:$A$1001,customers!C111:C1111,,0)=0,"",_xlfn.XLOOKUP(C112,customers!$A$1:$A$1001,customers!C111:C1111,,0))</f>
        <v>mpercifull64@netlog.com</v>
      </c>
      <c r="H112" s="2" t="str">
        <f>_xlfn.XLOOKUP(orders!C112,customers!$A$1:$A$1001,customers!$G$1:$G$1001,,0)</f>
        <v>United States</v>
      </c>
      <c r="I112" t="str">
        <f>INDEX(products!$A$1:$G$49,MATCH(orders!$D112, products!$A$1:$A$49,0), MATCH(orders!I$1,products!$A$1:$G$1,0))</f>
        <v>Exc</v>
      </c>
      <c r="J112" t="str">
        <f>INDEX(products!$A$1:$G$49,MATCH(orders!$D112, products!$A$1:$A$49,0), MATCH(orders!J$1,products!$A$1:$G$1,0))</f>
        <v>L</v>
      </c>
      <c r="K112" s="4">
        <f>INDEX(products!$A$1:$G$49,MATCH(orders!$D112, products!$A$1:$A$49,0), MATCH(orders!K$1,products!$A$1:$G$1,0))</f>
        <v>0.2</v>
      </c>
      <c r="L112" s="5">
        <f>INDEX(products!$A$1:$G$49,MATCH(orders!$D112, products!$A$1:$A$49,0), MATCH(orders!L$1,products!$A$1:$G$1,0))</f>
        <v>4.4550000000000001</v>
      </c>
      <c r="M112" s="5">
        <f t="shared" si="3"/>
        <v>13.365</v>
      </c>
      <c r="N112" t="str">
        <f t="shared" si="4"/>
        <v>Excelsa</v>
      </c>
      <c r="O112" t="str">
        <f t="shared" si="5"/>
        <v>Light</v>
      </c>
      <c r="P112" t="str">
        <f>_xlfn.XLOOKUP(Table1[[#This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IF(_xlfn.XLOOKUP(C113,customers!$A$1:$A$1001,customers!C112:C1112,,0)=0,"",_xlfn.XLOOKUP(C113,customers!$A$1:$A$1001,customers!C112:C1112,,0))</f>
        <v>wedinborough66@github.io</v>
      </c>
      <c r="H113" s="2" t="str">
        <f>_xlfn.XLOOKUP(orders!C113,customers!$A$1:$A$1001,customers!$G$1:$G$1001,,0)</f>
        <v>United States</v>
      </c>
      <c r="I113" t="str">
        <f>INDEX(products!$A$1:$G$49,MATCH(orders!$D113, products!$A$1:$A$49,0), MATCH(orders!I$1,products!$A$1:$G$1,0))</f>
        <v>Rob</v>
      </c>
      <c r="J113" t="str">
        <f>INDEX(products!$A$1:$G$49,MATCH(orders!$D113, products!$A$1:$A$49,0), MATCH(orders!J$1,products!$A$1:$G$1,0))</f>
        <v>D</v>
      </c>
      <c r="K113" s="4">
        <f>INDEX(products!$A$1:$G$49,MATCH(orders!$D113, products!$A$1:$A$49,0), MATCH(orders!K$1,products!$A$1:$G$1,0))</f>
        <v>0.5</v>
      </c>
      <c r="L113" s="5">
        <f>INDEX(products!$A$1:$G$49,MATCH(orders!$D113, products!$A$1:$A$49,0), MATCH(orders!L$1,products!$A$1:$G$1,0))</f>
        <v>5.3699999999999992</v>
      </c>
      <c r="M113" s="5">
        <f t="shared" si="3"/>
        <v>26.849999999999994</v>
      </c>
      <c r="N113" t="str">
        <f t="shared" si="4"/>
        <v>Robusta</v>
      </c>
      <c r="O113" t="str">
        <f t="shared" si="5"/>
        <v>Dark</v>
      </c>
      <c r="P113" t="str">
        <f>_xlfn.XLOOKUP(Table1[[#This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IF(_xlfn.XLOOKUP(C114,customers!$A$1:$A$1001,customers!C113:C1113,,0)=0,"",_xlfn.XLOOKUP(C114,customers!$A$1:$A$1001,customers!C113:C1113,,0))</f>
        <v>kbromehead68@un.org</v>
      </c>
      <c r="H114" s="2" t="str">
        <f>_xlfn.XLOOKUP(orders!C114,customers!$A$1:$A$1001,customers!$G$1:$G$1001,,0)</f>
        <v>United States</v>
      </c>
      <c r="I114" t="str">
        <f>INDEX(products!$A$1:$G$49,MATCH(orders!$D114, products!$A$1:$A$49,0), MATCH(orders!I$1,products!$A$1:$G$1,0))</f>
        <v>Ara</v>
      </c>
      <c r="J114" t="str">
        <f>INDEX(products!$A$1:$G$49,MATCH(orders!$D114, products!$A$1:$A$49,0), MATCH(orders!J$1,products!$A$1:$G$1,0))</f>
        <v>M</v>
      </c>
      <c r="K114" s="4">
        <f>INDEX(products!$A$1:$G$49,MATCH(orders!$D114, products!$A$1:$A$49,0), MATCH(orders!K$1,products!$A$1:$G$1,0))</f>
        <v>1</v>
      </c>
      <c r="L114" s="5">
        <f>INDEX(products!$A$1:$G$49,MATCH(orders!$D114, products!$A$1:$A$49,0), MATCH(orders!L$1,products!$A$1:$G$1,0))</f>
        <v>11.25</v>
      </c>
      <c r="M114" s="5">
        <f t="shared" si="3"/>
        <v>11.25</v>
      </c>
      <c r="N114" t="str">
        <f t="shared" si="4"/>
        <v>Arabica</v>
      </c>
      <c r="O114" t="str">
        <f t="shared" si="5"/>
        <v>Medium</v>
      </c>
      <c r="P114" t="str">
        <f>_xlfn.XLOOKUP(Table1[[#This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IF(_xlfn.XLOOKUP(C115,customers!$A$1:$A$1001,customers!C114:C1114,,0)=0,"",_xlfn.XLOOKUP(C115,customers!$A$1:$A$1001,customers!C114:C1114,,0))</f>
        <v>ahutchens6a@amazonaws.com</v>
      </c>
      <c r="H115" s="2" t="str">
        <f>_xlfn.XLOOKUP(orders!C115,customers!$A$1:$A$1001,customers!$G$1:$G$1001,,0)</f>
        <v>Ireland</v>
      </c>
      <c r="I115" t="str">
        <f>INDEX(products!$A$1:$G$49,MATCH(orders!$D115, products!$A$1:$A$49,0), MATCH(orders!I$1,products!$A$1:$G$1,0))</f>
        <v>Lib</v>
      </c>
      <c r="J115" t="str">
        <f>INDEX(products!$A$1:$G$49,MATCH(orders!$D115, products!$A$1:$A$49,0), MATCH(orders!J$1,products!$A$1:$G$1,0))</f>
        <v>M</v>
      </c>
      <c r="K115" s="4">
        <f>INDEX(products!$A$1:$G$49,MATCH(orders!$D115, products!$A$1:$A$49,0), MATCH(orders!K$1,products!$A$1:$G$1,0))</f>
        <v>1</v>
      </c>
      <c r="L115" s="5">
        <f>INDEX(products!$A$1:$G$49,MATCH(orders!$D115, products!$A$1:$A$49,0), MATCH(orders!L$1,products!$A$1:$G$1,0))</f>
        <v>14.55</v>
      </c>
      <c r="M115" s="5">
        <f t="shared" si="3"/>
        <v>14.55</v>
      </c>
      <c r="N115" t="str">
        <f t="shared" si="4"/>
        <v>Liberica</v>
      </c>
      <c r="O115" t="str">
        <f t="shared" si="5"/>
        <v>Medium</v>
      </c>
      <c r="P115" t="str">
        <f>_xlfn.XLOOKUP(Table1[[#This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IF(_xlfn.XLOOKUP(C116,customers!$A$1:$A$1001,customers!C115:C1115,,0)=0,"",_xlfn.XLOOKUP(C116,customers!$A$1:$A$1001,customers!C115:C1115,,0))</f>
        <v>bmathon6c@barnesandnoble.com</v>
      </c>
      <c r="H116" s="2" t="str">
        <f>_xlfn.XLOOKUP(orders!C116,customers!$A$1:$A$1001,customers!$G$1:$G$1001,,0)</f>
        <v>United States</v>
      </c>
      <c r="I116" t="str">
        <f>INDEX(products!$A$1:$G$49,MATCH(orders!$D116, products!$A$1:$A$49,0), MATCH(orders!I$1,products!$A$1:$G$1,0))</f>
        <v>Rob</v>
      </c>
      <c r="J116" t="str">
        <f>INDEX(products!$A$1:$G$49,MATCH(orders!$D116, products!$A$1:$A$49,0), MATCH(orders!J$1,products!$A$1:$G$1,0))</f>
        <v>L</v>
      </c>
      <c r="K116" s="4">
        <f>INDEX(products!$A$1:$G$49,MATCH(orders!$D116, products!$A$1:$A$49,0), MATCH(orders!K$1,products!$A$1:$G$1,0))</f>
        <v>0.2</v>
      </c>
      <c r="L116" s="5">
        <f>INDEX(products!$A$1:$G$49,MATCH(orders!$D116, products!$A$1:$A$49,0), MATCH(orders!L$1,products!$A$1:$G$1,0))</f>
        <v>3.5849999999999995</v>
      </c>
      <c r="M116" s="5">
        <f t="shared" si="3"/>
        <v>14.339999999999998</v>
      </c>
      <c r="N116" t="str">
        <f t="shared" si="4"/>
        <v>Robusta</v>
      </c>
      <c r="O116" t="str">
        <f t="shared" si="5"/>
        <v>Light</v>
      </c>
      <c r="P116" t="str">
        <f>_xlfn.XLOOKUP(Table1[[#This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IF(_xlfn.XLOOKUP(C117,customers!$A$1:$A$1001,customers!C116:C1116,,0)=0,"",_xlfn.XLOOKUP(C117,customers!$A$1:$A$1001,customers!C116:C1116,,0))</f>
        <v>pcutchie6e@globo.com</v>
      </c>
      <c r="H117" s="2" t="str">
        <f>_xlfn.XLOOKUP(orders!C117,customers!$A$1:$A$1001,customers!$G$1:$G$1001,,0)</f>
        <v>United Kingdom</v>
      </c>
      <c r="I117" t="str">
        <f>INDEX(products!$A$1:$G$49,MATCH(orders!$D117, products!$A$1:$A$49,0), MATCH(orders!I$1,products!$A$1:$G$1,0))</f>
        <v>Lib</v>
      </c>
      <c r="J117" t="str">
        <f>INDEX(products!$A$1:$G$49,MATCH(orders!$D117, products!$A$1:$A$49,0), MATCH(orders!J$1,products!$A$1:$G$1,0))</f>
        <v>L</v>
      </c>
      <c r="K117" s="4">
        <f>INDEX(products!$A$1:$G$49,MATCH(orders!$D117, products!$A$1:$A$49,0), MATCH(orders!K$1,products!$A$1:$G$1,0))</f>
        <v>1</v>
      </c>
      <c r="L117" s="5">
        <f>INDEX(products!$A$1:$G$49,MATCH(orders!$D117, products!$A$1:$A$49,0), MATCH(orders!L$1,products!$A$1:$G$1,0))</f>
        <v>15.85</v>
      </c>
      <c r="M117" s="5">
        <f t="shared" si="3"/>
        <v>15.85</v>
      </c>
      <c r="N117" t="str">
        <f t="shared" si="4"/>
        <v>Liberica</v>
      </c>
      <c r="O117" t="str">
        <f t="shared" si="5"/>
        <v>Light</v>
      </c>
      <c r="P117" t="str">
        <f>_xlfn.XLOOKUP(Table1[[#This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IF(_xlfn.XLOOKUP(C118,customers!$A$1:$A$1001,customers!C117:C1117,,0)=0,"",_xlfn.XLOOKUP(C118,customers!$A$1:$A$1001,customers!C117:C1117,,0))</f>
        <v>cgheraldi6g@opera.com</v>
      </c>
      <c r="H118" s="2" t="str">
        <f>_xlfn.XLOOKUP(orders!C118,customers!$A$1:$A$1001,customers!$G$1:$G$1001,,0)</f>
        <v>Ireland</v>
      </c>
      <c r="I118" t="str">
        <f>INDEX(products!$A$1:$G$49,MATCH(orders!$D118, products!$A$1:$A$49,0), MATCH(orders!I$1,products!$A$1:$G$1,0))</f>
        <v>Lib</v>
      </c>
      <c r="J118" t="str">
        <f>INDEX(products!$A$1:$G$49,MATCH(orders!$D118, products!$A$1:$A$49,0), MATCH(orders!J$1,products!$A$1:$G$1,0))</f>
        <v>L</v>
      </c>
      <c r="K118" s="4">
        <f>INDEX(products!$A$1:$G$49,MATCH(orders!$D118, products!$A$1:$A$49,0), MATCH(orders!K$1,products!$A$1:$G$1,0))</f>
        <v>0.2</v>
      </c>
      <c r="L118" s="5">
        <f>INDEX(products!$A$1:$G$49,MATCH(orders!$D118, products!$A$1:$A$49,0), MATCH(orders!L$1,products!$A$1:$G$1,0))</f>
        <v>4.7549999999999999</v>
      </c>
      <c r="M118" s="5">
        <f t="shared" si="3"/>
        <v>19.02</v>
      </c>
      <c r="N118" t="str">
        <f t="shared" si="4"/>
        <v>Liberica</v>
      </c>
      <c r="O118" t="str">
        <f t="shared" si="5"/>
        <v>Light</v>
      </c>
      <c r="P118" t="str">
        <f>_xlfn.XLOOKUP(Table1[[#This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IF(_xlfn.XLOOKUP(C119,customers!$A$1:$A$1001,customers!C118:C1118,,0)=0,"",_xlfn.XLOOKUP(C119,customers!$A$1:$A$1001,customers!C118:C1118,,0))</f>
        <v>tsutty6i@google.es</v>
      </c>
      <c r="H119" s="2" t="str">
        <f>_xlfn.XLOOKUP(orders!C119,customers!$A$1:$A$1001,customers!$G$1:$G$1001,,0)</f>
        <v>United States</v>
      </c>
      <c r="I119" t="str">
        <f>INDEX(products!$A$1:$G$49,MATCH(orders!$D119, products!$A$1:$A$49,0), MATCH(orders!I$1,products!$A$1:$G$1,0))</f>
        <v>Lib</v>
      </c>
      <c r="J119" t="str">
        <f>INDEX(products!$A$1:$G$49,MATCH(orders!$D119, products!$A$1:$A$49,0), MATCH(orders!J$1,products!$A$1:$G$1,0))</f>
        <v>L</v>
      </c>
      <c r="K119" s="4">
        <f>INDEX(products!$A$1:$G$49,MATCH(orders!$D119, products!$A$1:$A$49,0), MATCH(orders!K$1,products!$A$1:$G$1,0))</f>
        <v>0.5</v>
      </c>
      <c r="L119" s="5">
        <f>INDEX(products!$A$1:$G$49,MATCH(orders!$D119, products!$A$1:$A$49,0), MATCH(orders!L$1,products!$A$1:$G$1,0))</f>
        <v>9.51</v>
      </c>
      <c r="M119" s="5">
        <f t="shared" si="3"/>
        <v>38.04</v>
      </c>
      <c r="N119" t="str">
        <f t="shared" si="4"/>
        <v>Liberica</v>
      </c>
      <c r="O119" t="str">
        <f t="shared" si="5"/>
        <v>Light</v>
      </c>
      <c r="P119" t="str">
        <f>_xlfn.XLOOKUP(Table1[[#This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IF(_xlfn.XLOOKUP(C120,customers!$A$1:$A$1001,customers!C119:C1119,,0)=0,"",_xlfn.XLOOKUP(C120,customers!$A$1:$A$1001,customers!C119:C1119,,0))</f>
        <v>charce6k@cafepress.com</v>
      </c>
      <c r="H120" s="2" t="str">
        <f>_xlfn.XLOOKUP(orders!C120,customers!$A$1:$A$1001,customers!$G$1:$G$1001,,0)</f>
        <v>United States</v>
      </c>
      <c r="I120" t="str">
        <f>INDEX(products!$A$1:$G$49,MATCH(orders!$D120, products!$A$1:$A$49,0), MATCH(orders!I$1,products!$A$1:$G$1,0))</f>
        <v>Exc</v>
      </c>
      <c r="J120" t="str">
        <f>INDEX(products!$A$1:$G$49,MATCH(orders!$D120, products!$A$1:$A$49,0), MATCH(orders!J$1,products!$A$1:$G$1,0))</f>
        <v>D</v>
      </c>
      <c r="K120" s="4">
        <f>INDEX(products!$A$1:$G$49,MATCH(orders!$D120, products!$A$1:$A$49,0), MATCH(orders!K$1,products!$A$1:$G$1,0))</f>
        <v>0.5</v>
      </c>
      <c r="L120" s="5">
        <f>INDEX(products!$A$1:$G$49,MATCH(orders!$D120, products!$A$1:$A$49,0), MATCH(orders!L$1,products!$A$1:$G$1,0))</f>
        <v>7.29</v>
      </c>
      <c r="M120" s="5">
        <f t="shared" si="3"/>
        <v>21.87</v>
      </c>
      <c r="N120" t="str">
        <f t="shared" si="4"/>
        <v>Excelsa</v>
      </c>
      <c r="O120" t="str">
        <f t="shared" si="5"/>
        <v>Dark</v>
      </c>
      <c r="P120" t="str">
        <f>_xlfn.XLOOKUP(Table1[[#This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IF(_xlfn.XLOOKUP(C121,customers!$A$1:$A$1001,customers!C120:C1120,,0)=0,"",_xlfn.XLOOKUP(C121,customers!$A$1:$A$1001,customers!C120:C1120,,0))</f>
        <v>fdrysdale6m@symantec.com</v>
      </c>
      <c r="H121" s="2" t="str">
        <f>_xlfn.XLOOKUP(orders!C121,customers!$A$1:$A$1001,customers!$G$1:$G$1001,,0)</f>
        <v>United States</v>
      </c>
      <c r="I121" t="str">
        <f>INDEX(products!$A$1:$G$49,MATCH(orders!$D121, products!$A$1:$A$49,0), MATCH(orders!I$1,products!$A$1:$G$1,0))</f>
        <v>Exc</v>
      </c>
      <c r="J121" t="str">
        <f>INDEX(products!$A$1:$G$49,MATCH(orders!$D121, products!$A$1:$A$49,0), MATCH(orders!J$1,products!$A$1:$G$1,0))</f>
        <v>M</v>
      </c>
      <c r="K121" s="4">
        <f>INDEX(products!$A$1:$G$49,MATCH(orders!$D121, products!$A$1:$A$49,0), MATCH(orders!K$1,products!$A$1:$G$1,0))</f>
        <v>0.2</v>
      </c>
      <c r="L121" s="5">
        <f>INDEX(products!$A$1:$G$49,MATCH(orders!$D121, products!$A$1:$A$49,0), MATCH(orders!L$1,products!$A$1:$G$1,0))</f>
        <v>4.125</v>
      </c>
      <c r="M121" s="5">
        <f t="shared" si="3"/>
        <v>4.125</v>
      </c>
      <c r="N121" t="str">
        <f t="shared" si="4"/>
        <v>Excelsa</v>
      </c>
      <c r="O121" t="str">
        <f t="shared" si="5"/>
        <v>Medium</v>
      </c>
      <c r="P121" t="str">
        <f>_xlfn.XLOOKUP(Table1[[#This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IF(_xlfn.XLOOKUP(C122,customers!$A$1:$A$1001,customers!C121:C1121,,0)=0,"",_xlfn.XLOOKUP(C122,customers!$A$1:$A$1001,customers!C121:C1121,,0))</f>
        <v>dmagowan6n@fc2.com</v>
      </c>
      <c r="H122" s="2" t="str">
        <f>_xlfn.XLOOKUP(orders!C122,customers!$A$1:$A$1001,customers!$G$1:$G$1001,,0)</f>
        <v>United States</v>
      </c>
      <c r="I122" t="str">
        <f>INDEX(products!$A$1:$G$49,MATCH(orders!$D122, products!$A$1:$A$49,0), MATCH(orders!I$1,products!$A$1:$G$1,0))</f>
        <v>Ara</v>
      </c>
      <c r="J122" t="str">
        <f>INDEX(products!$A$1:$G$49,MATCH(orders!$D122, products!$A$1:$A$49,0), MATCH(orders!J$1,products!$A$1:$G$1,0))</f>
        <v>L</v>
      </c>
      <c r="K122" s="4">
        <f>INDEX(products!$A$1:$G$49,MATCH(orders!$D122, products!$A$1:$A$49,0), MATCH(orders!K$1,products!$A$1:$G$1,0))</f>
        <v>0.2</v>
      </c>
      <c r="L122" s="5">
        <f>INDEX(products!$A$1:$G$49,MATCH(orders!$D122, products!$A$1:$A$49,0), MATCH(orders!L$1,products!$A$1:$G$1,0))</f>
        <v>3.8849999999999998</v>
      </c>
      <c r="M122" s="5">
        <f t="shared" si="3"/>
        <v>3.8849999999999998</v>
      </c>
      <c r="N122" t="str">
        <f t="shared" si="4"/>
        <v>Arabica</v>
      </c>
      <c r="O122" t="str">
        <f t="shared" si="5"/>
        <v>Light</v>
      </c>
      <c r="P122" t="str">
        <f>_xlfn.XLOOKUP(Table1[[#This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IF(_xlfn.XLOOKUP(C123,customers!$A$1:$A$1001,customers!C122:C1122,,0)=0,"",_xlfn.XLOOKUP(C123,customers!$A$1:$A$1001,customers!C122:C1122,,0))</f>
        <v/>
      </c>
      <c r="H123" s="2" t="str">
        <f>_xlfn.XLOOKUP(orders!C123,customers!$A$1:$A$1001,customers!$G$1:$G$1001,,0)</f>
        <v>United States</v>
      </c>
      <c r="I123" t="str">
        <f>INDEX(products!$A$1:$G$49,MATCH(orders!$D123, products!$A$1:$A$49,0), MATCH(orders!I$1,products!$A$1:$G$1,0))</f>
        <v>Exc</v>
      </c>
      <c r="J123" t="str">
        <f>INDEX(products!$A$1:$G$49,MATCH(orders!$D123, products!$A$1:$A$49,0), MATCH(orders!J$1,products!$A$1:$G$1,0))</f>
        <v>M</v>
      </c>
      <c r="K123" s="4">
        <f>INDEX(products!$A$1:$G$49,MATCH(orders!$D123, products!$A$1:$A$49,0), MATCH(orders!K$1,products!$A$1:$G$1,0))</f>
        <v>1</v>
      </c>
      <c r="L123" s="5">
        <f>INDEX(products!$A$1:$G$49,MATCH(orders!$D123, products!$A$1:$A$49,0), MATCH(orders!L$1,products!$A$1:$G$1,0))</f>
        <v>13.75</v>
      </c>
      <c r="M123" s="5">
        <f t="shared" si="3"/>
        <v>68.75</v>
      </c>
      <c r="N123" t="str">
        <f t="shared" si="4"/>
        <v>Excelsa</v>
      </c>
      <c r="O123" t="str">
        <f t="shared" si="5"/>
        <v>Medium</v>
      </c>
      <c r="P123" t="str">
        <f>_xlfn.XLOOKUP(Table1[[#This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IF(_xlfn.XLOOKUP(C124,customers!$A$1:$A$1001,customers!C123:C1123,,0)=0,"",_xlfn.XLOOKUP(C124,customers!$A$1:$A$1001,customers!C123:C1123,,0))</f>
        <v>eyurkov6s@hud.gov</v>
      </c>
      <c r="H124" s="2" t="str">
        <f>_xlfn.XLOOKUP(orders!C124,customers!$A$1:$A$1001,customers!$G$1:$G$1001,,0)</f>
        <v>United States</v>
      </c>
      <c r="I124" t="str">
        <f>INDEX(products!$A$1:$G$49,MATCH(orders!$D124, products!$A$1:$A$49,0), MATCH(orders!I$1,products!$A$1:$G$1,0))</f>
        <v>Ara</v>
      </c>
      <c r="J124" t="str">
        <f>INDEX(products!$A$1:$G$49,MATCH(orders!$D124, products!$A$1:$A$49,0), MATCH(orders!J$1,products!$A$1:$G$1,0))</f>
        <v>D</v>
      </c>
      <c r="K124" s="4">
        <f>INDEX(products!$A$1:$G$49,MATCH(orders!$D124, products!$A$1:$A$49,0), MATCH(orders!K$1,products!$A$1:$G$1,0))</f>
        <v>0.5</v>
      </c>
      <c r="L124" s="5">
        <f>INDEX(products!$A$1:$G$49,MATCH(orders!$D124, products!$A$1:$A$49,0), MATCH(orders!L$1,products!$A$1:$G$1,0))</f>
        <v>5.97</v>
      </c>
      <c r="M124" s="5">
        <f t="shared" si="3"/>
        <v>23.88</v>
      </c>
      <c r="N124" t="str">
        <f t="shared" si="4"/>
        <v>Arabica</v>
      </c>
      <c r="O124" t="str">
        <f t="shared" si="5"/>
        <v>Dark</v>
      </c>
      <c r="P124" t="str">
        <f>_xlfn.XLOOKUP(Table1[[#This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IF(_xlfn.XLOOKUP(C125,customers!$A$1:$A$1001,customers!C124:C1124,,0)=0,"",_xlfn.XLOOKUP(C125,customers!$A$1:$A$1001,customers!C124:C1124,,0))</f>
        <v>gbentjens6u@netlog.com</v>
      </c>
      <c r="H125" s="2" t="str">
        <f>_xlfn.XLOOKUP(orders!C125,customers!$A$1:$A$1001,customers!$G$1:$G$1001,,0)</f>
        <v>United States</v>
      </c>
      <c r="I125" t="str">
        <f>INDEX(products!$A$1:$G$49,MATCH(orders!$D125, products!$A$1:$A$49,0), MATCH(orders!I$1,products!$A$1:$G$1,0))</f>
        <v>Lib</v>
      </c>
      <c r="J125" t="str">
        <f>INDEX(products!$A$1:$G$49,MATCH(orders!$D125, products!$A$1:$A$49,0), MATCH(orders!J$1,products!$A$1:$G$1,0))</f>
        <v>L</v>
      </c>
      <c r="K125" s="4">
        <f>INDEX(products!$A$1:$G$49,MATCH(orders!$D125, products!$A$1:$A$49,0), MATCH(orders!K$1,products!$A$1:$G$1,0))</f>
        <v>2.5</v>
      </c>
      <c r="L125" s="5">
        <f>INDEX(products!$A$1:$G$49,MATCH(orders!$D125, products!$A$1:$A$49,0), MATCH(orders!L$1,products!$A$1:$G$1,0))</f>
        <v>36.454999999999998</v>
      </c>
      <c r="M125" s="5">
        <f t="shared" si="3"/>
        <v>145.82</v>
      </c>
      <c r="N125" t="str">
        <f t="shared" si="4"/>
        <v>Liberica</v>
      </c>
      <c r="O125" t="str">
        <f t="shared" si="5"/>
        <v>Light</v>
      </c>
      <c r="P125" t="str">
        <f>_xlfn.XLOOKUP(Table1[[#This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IF(_xlfn.XLOOKUP(C126,customers!$A$1:$A$1001,customers!C125:C1125,,0)=0,"",_xlfn.XLOOKUP(C126,customers!$A$1:$A$1001,customers!C125:C1125,,0))</f>
        <v>lentwistle6w@omniture.com</v>
      </c>
      <c r="H126" s="2" t="str">
        <f>_xlfn.XLOOKUP(orders!C126,customers!$A$1:$A$1001,customers!$G$1:$G$1001,,0)</f>
        <v>United States</v>
      </c>
      <c r="I126" t="str">
        <f>INDEX(products!$A$1:$G$49,MATCH(orders!$D126, products!$A$1:$A$49,0), MATCH(orders!I$1,products!$A$1:$G$1,0))</f>
        <v>Lib</v>
      </c>
      <c r="J126" t="str">
        <f>INDEX(products!$A$1:$G$49,MATCH(orders!$D126, products!$A$1:$A$49,0), MATCH(orders!J$1,products!$A$1:$G$1,0))</f>
        <v>M</v>
      </c>
      <c r="K126" s="4">
        <f>INDEX(products!$A$1:$G$49,MATCH(orders!$D126, products!$A$1:$A$49,0), MATCH(orders!K$1,products!$A$1:$G$1,0))</f>
        <v>0.2</v>
      </c>
      <c r="L126" s="5">
        <f>INDEX(products!$A$1:$G$49,MATCH(orders!$D126, products!$A$1:$A$49,0), MATCH(orders!L$1,products!$A$1:$G$1,0))</f>
        <v>4.3650000000000002</v>
      </c>
      <c r="M126" s="5">
        <f t="shared" si="3"/>
        <v>21.825000000000003</v>
      </c>
      <c r="N126" t="str">
        <f t="shared" si="4"/>
        <v>Liberica</v>
      </c>
      <c r="O126" t="str">
        <f t="shared" si="5"/>
        <v>Medium</v>
      </c>
      <c r="P126" t="str">
        <f>_xlfn.XLOOKUP(Table1[[#This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IF(_xlfn.XLOOKUP(C127,customers!$A$1:$A$1001,customers!C126:C1126,,0)=0,"",_xlfn.XLOOKUP(C127,customers!$A$1:$A$1001,customers!C126:C1126,,0))</f>
        <v>macott6y@pagesperso-orange.fr</v>
      </c>
      <c r="H127" s="2" t="str">
        <f>_xlfn.XLOOKUP(orders!C127,customers!$A$1:$A$1001,customers!$G$1:$G$1001,,0)</f>
        <v>Ireland</v>
      </c>
      <c r="I127" t="str">
        <f>INDEX(products!$A$1:$G$49,MATCH(orders!$D127, products!$A$1:$A$49,0), MATCH(orders!I$1,products!$A$1:$G$1,0))</f>
        <v>Lib</v>
      </c>
      <c r="J127" t="str">
        <f>INDEX(products!$A$1:$G$49,MATCH(orders!$D127, products!$A$1:$A$49,0), MATCH(orders!J$1,products!$A$1:$G$1,0))</f>
        <v>M</v>
      </c>
      <c r="K127" s="4">
        <f>INDEX(products!$A$1:$G$49,MATCH(orders!$D127, products!$A$1:$A$49,0), MATCH(orders!K$1,products!$A$1:$G$1,0))</f>
        <v>0.5</v>
      </c>
      <c r="L127" s="5">
        <f>INDEX(products!$A$1:$G$49,MATCH(orders!$D127, products!$A$1:$A$49,0), MATCH(orders!L$1,products!$A$1:$G$1,0))</f>
        <v>8.73</v>
      </c>
      <c r="M127" s="5">
        <f t="shared" si="3"/>
        <v>26.19</v>
      </c>
      <c r="N127" t="str">
        <f t="shared" si="4"/>
        <v>Liberica</v>
      </c>
      <c r="O127" t="str">
        <f t="shared" si="5"/>
        <v>Medium</v>
      </c>
      <c r="P127" t="str">
        <f>_xlfn.XLOOKUP(Table1[[#This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IF(_xlfn.XLOOKUP(C128,customers!$A$1:$A$1001,customers!C127:C1127,,0)=0,"",_xlfn.XLOOKUP(C128,customers!$A$1:$A$1001,customers!C127:C1127,,0))</f>
        <v/>
      </c>
      <c r="H128" s="2" t="str">
        <f>_xlfn.XLOOKUP(orders!C128,customers!$A$1:$A$1001,customers!$G$1:$G$1001,,0)</f>
        <v>United States</v>
      </c>
      <c r="I128" t="str">
        <f>INDEX(products!$A$1:$G$49,MATCH(orders!$D128, products!$A$1:$A$49,0), MATCH(orders!I$1,products!$A$1:$G$1,0))</f>
        <v>Ara</v>
      </c>
      <c r="J128" t="str">
        <f>INDEX(products!$A$1:$G$49,MATCH(orders!$D128, products!$A$1:$A$49,0), MATCH(orders!J$1,products!$A$1:$G$1,0))</f>
        <v>M</v>
      </c>
      <c r="K128" s="4">
        <f>INDEX(products!$A$1:$G$49,MATCH(orders!$D128, products!$A$1:$A$49,0), MATCH(orders!K$1,products!$A$1:$G$1,0))</f>
        <v>1</v>
      </c>
      <c r="L128" s="5">
        <f>INDEX(products!$A$1:$G$49,MATCH(orders!$D128, products!$A$1:$A$49,0), MATCH(orders!L$1,products!$A$1:$G$1,0))</f>
        <v>11.25</v>
      </c>
      <c r="M128" s="5">
        <f t="shared" si="3"/>
        <v>11.25</v>
      </c>
      <c r="N128" t="str">
        <f t="shared" si="4"/>
        <v>Arabica</v>
      </c>
      <c r="O128" t="str">
        <f t="shared" si="5"/>
        <v>Medium</v>
      </c>
      <c r="P128" t="str">
        <f>_xlfn.XLOOKUP(Table1[[#This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IF(_xlfn.XLOOKUP(C129,customers!$A$1:$A$1001,customers!C128:C1128,,0)=0,"",_xlfn.XLOOKUP(C129,customers!$A$1:$A$1001,customers!C128:C1128,,0))</f>
        <v>rmclae72@dailymotion.com</v>
      </c>
      <c r="H129" s="2" t="str">
        <f>_xlfn.XLOOKUP(orders!C129,customers!$A$1:$A$1001,customers!$G$1:$G$1001,,0)</f>
        <v>Ireland</v>
      </c>
      <c r="I129" t="str">
        <f>INDEX(products!$A$1:$G$49,MATCH(orders!$D129, products!$A$1:$A$49,0), MATCH(orders!I$1,products!$A$1:$G$1,0))</f>
        <v>Lib</v>
      </c>
      <c r="J129" t="str">
        <f>INDEX(products!$A$1:$G$49,MATCH(orders!$D129, products!$A$1:$A$49,0), MATCH(orders!J$1,products!$A$1:$G$1,0))</f>
        <v>D</v>
      </c>
      <c r="K129" s="4">
        <f>INDEX(products!$A$1:$G$49,MATCH(orders!$D129, products!$A$1:$A$49,0), MATCH(orders!K$1,products!$A$1:$G$1,0))</f>
        <v>1</v>
      </c>
      <c r="L129" s="5">
        <f>INDEX(products!$A$1:$G$49,MATCH(orders!$D129, products!$A$1:$A$49,0), MATCH(orders!L$1,products!$A$1:$G$1,0))</f>
        <v>12.95</v>
      </c>
      <c r="M129" s="5">
        <f t="shared" si="3"/>
        <v>77.699999999999989</v>
      </c>
      <c r="N129" t="str">
        <f t="shared" si="4"/>
        <v>Liberica</v>
      </c>
      <c r="O129" t="str">
        <f t="shared" si="5"/>
        <v>Dark</v>
      </c>
      <c r="P129" t="str">
        <f>_xlfn.XLOOKUP(Table1[[#This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IF(_xlfn.XLOOKUP(C130,customers!$A$1:$A$1001,customers!C129:C1129,,0)=0,"",_xlfn.XLOOKUP(C130,customers!$A$1:$A$1001,customers!C129:C1129,,0))</f>
        <v>zkiffe74@cyberchimps.com</v>
      </c>
      <c r="H130" s="2" t="str">
        <f>_xlfn.XLOOKUP(orders!C130,customers!$A$1:$A$1001,customers!$G$1:$G$1001,,0)</f>
        <v>United States</v>
      </c>
      <c r="I130" t="str">
        <f>INDEX(products!$A$1:$G$49,MATCH(orders!$D130, products!$A$1:$A$49,0), MATCH(orders!I$1,products!$A$1:$G$1,0))</f>
        <v>Ara</v>
      </c>
      <c r="J130" t="str">
        <f>INDEX(products!$A$1:$G$49,MATCH(orders!$D130, products!$A$1:$A$49,0), MATCH(orders!J$1,products!$A$1:$G$1,0))</f>
        <v>M</v>
      </c>
      <c r="K130" s="4">
        <f>INDEX(products!$A$1:$G$49,MATCH(orders!$D130, products!$A$1:$A$49,0), MATCH(orders!K$1,products!$A$1:$G$1,0))</f>
        <v>0.5</v>
      </c>
      <c r="L130" s="5">
        <f>INDEX(products!$A$1:$G$49,MATCH(orders!$D130, products!$A$1:$A$49,0), MATCH(orders!L$1,products!$A$1:$G$1,0))</f>
        <v>6.75</v>
      </c>
      <c r="M130" s="5">
        <f t="shared" si="3"/>
        <v>6.75</v>
      </c>
      <c r="N130" t="str">
        <f t="shared" si="4"/>
        <v>Arabica</v>
      </c>
      <c r="O130" t="str">
        <f t="shared" si="5"/>
        <v>Medium</v>
      </c>
      <c r="P130" t="str">
        <f>_xlfn.XLOOKUP(Table1[[#This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IF(_xlfn.XLOOKUP(C131,customers!$A$1:$A$1001,customers!C130:C1130,,0)=0,"",_xlfn.XLOOKUP(C131,customers!$A$1:$A$1001,customers!C130:C1130,,0))</f>
        <v>ccromwell76@desdev.cn</v>
      </c>
      <c r="H131" s="2" t="str">
        <f>_xlfn.XLOOKUP(orders!C131,customers!$A$1:$A$1001,customers!$G$1:$G$1001,,0)</f>
        <v>United States</v>
      </c>
      <c r="I131" t="str">
        <f>INDEX(products!$A$1:$G$49,MATCH(orders!$D131, products!$A$1:$A$49,0), MATCH(orders!I$1,products!$A$1:$G$1,0))</f>
        <v>Exc</v>
      </c>
      <c r="J131" t="str">
        <f>INDEX(products!$A$1:$G$49,MATCH(orders!$D131, products!$A$1:$A$49,0), MATCH(orders!J$1,products!$A$1:$G$1,0))</f>
        <v>D</v>
      </c>
      <c r="K131" s="4">
        <f>INDEX(products!$A$1:$G$49,MATCH(orders!$D131, products!$A$1:$A$49,0), MATCH(orders!K$1,products!$A$1:$G$1,0))</f>
        <v>1</v>
      </c>
      <c r="L131" s="5">
        <f>INDEX(products!$A$1:$G$49,MATCH(orders!$D131, products!$A$1:$A$49,0), MATCH(orders!L$1,products!$A$1:$G$1,0))</f>
        <v>12.15</v>
      </c>
      <c r="M131" s="5">
        <f t="shared" ref="M131:M194" si="6">L131*E131</f>
        <v>12.15</v>
      </c>
      <c r="N131" t="str">
        <f t="shared" ref="N131:N194" si="7">IF(I131="Rob","Robusta",IF(I131="Exc", "Excelsa", IF(I131="Ara","Arabica", IF(I131="lib","Liberica",""))))</f>
        <v>Excelsa</v>
      </c>
      <c r="O131" t="str">
        <f t="shared" ref="O131:O194" si="8">IF(J131="M","Medium",IF(J131="L","Light",IF(J131="D","Dark", "")))</f>
        <v>Dark</v>
      </c>
      <c r="P131" t="str">
        <f>_xlfn.XLOOKUP(Table1[[#This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IF(_xlfn.XLOOKUP(C132,customers!$A$1:$A$1001,customers!C131:C1131,,0)=0,"",_xlfn.XLOOKUP(C132,customers!$A$1:$A$1001,customers!C131:C1131,,0))</f>
        <v>ttaffarello78@sciencedaily.com</v>
      </c>
      <c r="H132" s="2" t="str">
        <f>_xlfn.XLOOKUP(orders!C132,customers!$A$1:$A$1001,customers!$G$1:$G$1001,,0)</f>
        <v>Ireland</v>
      </c>
      <c r="I132" t="str">
        <f>INDEX(products!$A$1:$G$49,MATCH(orders!$D132, products!$A$1:$A$49,0), MATCH(orders!I$1,products!$A$1:$G$1,0))</f>
        <v>Ara</v>
      </c>
      <c r="J132" t="str">
        <f>INDEX(products!$A$1:$G$49,MATCH(orders!$D132, products!$A$1:$A$49,0), MATCH(orders!J$1,products!$A$1:$G$1,0))</f>
        <v>L</v>
      </c>
      <c r="K132" s="4">
        <f>INDEX(products!$A$1:$G$49,MATCH(orders!$D132, products!$A$1:$A$49,0), MATCH(orders!K$1,products!$A$1:$G$1,0))</f>
        <v>2.5</v>
      </c>
      <c r="L132" s="5">
        <f>INDEX(products!$A$1:$G$49,MATCH(orders!$D132, products!$A$1:$A$49,0), MATCH(orders!L$1,products!$A$1:$G$1,0))</f>
        <v>29.784999999999997</v>
      </c>
      <c r="M132" s="5">
        <f t="shared" si="6"/>
        <v>148.92499999999998</v>
      </c>
      <c r="N132" t="str">
        <f t="shared" si="7"/>
        <v>Arabica</v>
      </c>
      <c r="O132" t="str">
        <f t="shared" si="8"/>
        <v>Light</v>
      </c>
      <c r="P132" t="str">
        <f>_xlfn.XLOOKUP(Table1[[#This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IF(_xlfn.XLOOKUP(C133,customers!$A$1:$A$1001,customers!C132:C1132,,0)=0,"",_xlfn.XLOOKUP(C133,customers!$A$1:$A$1001,customers!C132:C1132,,0))</f>
        <v>jkopke7a@auda.org.au</v>
      </c>
      <c r="H133" s="2" t="str">
        <f>_xlfn.XLOOKUP(orders!C133,customers!$A$1:$A$1001,customers!$G$1:$G$1001,,0)</f>
        <v>United States</v>
      </c>
      <c r="I133" t="str">
        <f>INDEX(products!$A$1:$G$49,MATCH(orders!$D133, products!$A$1:$A$49,0), MATCH(orders!I$1,products!$A$1:$G$1,0))</f>
        <v>Exc</v>
      </c>
      <c r="J133" t="str">
        <f>INDEX(products!$A$1:$G$49,MATCH(orders!$D133, products!$A$1:$A$49,0), MATCH(orders!J$1,products!$A$1:$G$1,0))</f>
        <v>D</v>
      </c>
      <c r="K133" s="4">
        <f>INDEX(products!$A$1:$G$49,MATCH(orders!$D133, products!$A$1:$A$49,0), MATCH(orders!K$1,products!$A$1:$G$1,0))</f>
        <v>0.5</v>
      </c>
      <c r="L133" s="5">
        <f>INDEX(products!$A$1:$G$49,MATCH(orders!$D133, products!$A$1:$A$49,0), MATCH(orders!L$1,products!$A$1:$G$1,0))</f>
        <v>7.29</v>
      </c>
      <c r="M133" s="5">
        <f t="shared" si="6"/>
        <v>14.58</v>
      </c>
      <c r="N133" t="str">
        <f t="shared" si="7"/>
        <v>Excelsa</v>
      </c>
      <c r="O133" t="str">
        <f t="shared" si="8"/>
        <v>Dark</v>
      </c>
      <c r="P133" t="str">
        <f>_xlfn.XLOOKUP(Table1[[#This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IF(_xlfn.XLOOKUP(C134,customers!$A$1:$A$1001,customers!C133:C1133,,0)=0,"",_xlfn.XLOOKUP(C134,customers!$A$1:$A$1001,customers!C133:C1133,,0))</f>
        <v/>
      </c>
      <c r="H134" s="2" t="str">
        <f>_xlfn.XLOOKUP(orders!C134,customers!$A$1:$A$1001,customers!$G$1:$G$1001,,0)</f>
        <v>United States</v>
      </c>
      <c r="I134" t="str">
        <f>INDEX(products!$A$1:$G$49,MATCH(orders!$D134, products!$A$1:$A$49,0), MATCH(orders!I$1,products!$A$1:$G$1,0))</f>
        <v>Ara</v>
      </c>
      <c r="J134" t="str">
        <f>INDEX(products!$A$1:$G$49,MATCH(orders!$D134, products!$A$1:$A$49,0), MATCH(orders!J$1,products!$A$1:$G$1,0))</f>
        <v>L</v>
      </c>
      <c r="K134" s="4">
        <f>INDEX(products!$A$1:$G$49,MATCH(orders!$D134, products!$A$1:$A$49,0), MATCH(orders!K$1,products!$A$1:$G$1,0))</f>
        <v>2.5</v>
      </c>
      <c r="L134" s="5">
        <f>INDEX(products!$A$1:$G$49,MATCH(orders!$D134, products!$A$1:$A$49,0), MATCH(orders!L$1,products!$A$1:$G$1,0))</f>
        <v>29.784999999999997</v>
      </c>
      <c r="M134" s="5">
        <f t="shared" si="6"/>
        <v>148.92499999999998</v>
      </c>
      <c r="N134" t="str">
        <f t="shared" si="7"/>
        <v>Arabica</v>
      </c>
      <c r="O134" t="str">
        <f t="shared" si="8"/>
        <v>Light</v>
      </c>
      <c r="P134" t="str">
        <f>_xlfn.XLOOKUP(Table1[[#This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IF(_xlfn.XLOOKUP(C135,customers!$A$1:$A$1001,customers!C134:C1134,,0)=0,"",_xlfn.XLOOKUP(C135,customers!$A$1:$A$1001,customers!C134:C1134,,0))</f>
        <v>mseawright7e@nbcnews.com</v>
      </c>
      <c r="H135" s="2" t="str">
        <f>_xlfn.XLOOKUP(orders!C135,customers!$A$1:$A$1001,customers!$G$1:$G$1001,,0)</f>
        <v>United States</v>
      </c>
      <c r="I135" t="str">
        <f>INDEX(products!$A$1:$G$49,MATCH(orders!$D135, products!$A$1:$A$49,0), MATCH(orders!I$1,products!$A$1:$G$1,0))</f>
        <v>Lib</v>
      </c>
      <c r="J135" t="str">
        <f>INDEX(products!$A$1:$G$49,MATCH(orders!$D135, products!$A$1:$A$49,0), MATCH(orders!J$1,products!$A$1:$G$1,0))</f>
        <v>D</v>
      </c>
      <c r="K135" s="4">
        <f>INDEX(products!$A$1:$G$49,MATCH(orders!$D135, products!$A$1:$A$49,0), MATCH(orders!K$1,products!$A$1:$G$1,0))</f>
        <v>1</v>
      </c>
      <c r="L135" s="5">
        <f>INDEX(products!$A$1:$G$49,MATCH(orders!$D135, products!$A$1:$A$49,0), MATCH(orders!L$1,products!$A$1:$G$1,0))</f>
        <v>12.95</v>
      </c>
      <c r="M135" s="5">
        <f t="shared" si="6"/>
        <v>12.95</v>
      </c>
      <c r="N135" t="str">
        <f t="shared" si="7"/>
        <v>Liberica</v>
      </c>
      <c r="O135" t="str">
        <f t="shared" si="8"/>
        <v>Dark</v>
      </c>
      <c r="P135" t="str">
        <f>_xlfn.XLOOKUP(Table1[[#This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IF(_xlfn.XLOOKUP(C136,customers!$A$1:$A$1001,customers!C135:C1135,,0)=0,"",_xlfn.XLOOKUP(C136,customers!$A$1:$A$1001,customers!C135:C1135,,0))</f>
        <v/>
      </c>
      <c r="H136" s="2" t="str">
        <f>_xlfn.XLOOKUP(orders!C136,customers!$A$1:$A$1001,customers!$G$1:$G$1001,,0)</f>
        <v>United States</v>
      </c>
      <c r="I136" t="str">
        <f>INDEX(products!$A$1:$G$49,MATCH(orders!$D136, products!$A$1:$A$49,0), MATCH(orders!I$1,products!$A$1:$G$1,0))</f>
        <v>Exc</v>
      </c>
      <c r="J136" t="str">
        <f>INDEX(products!$A$1:$G$49,MATCH(orders!$D136, products!$A$1:$A$49,0), MATCH(orders!J$1,products!$A$1:$G$1,0))</f>
        <v>M</v>
      </c>
      <c r="K136" s="4">
        <f>INDEX(products!$A$1:$G$49,MATCH(orders!$D136, products!$A$1:$A$49,0), MATCH(orders!K$1,products!$A$1:$G$1,0))</f>
        <v>2.5</v>
      </c>
      <c r="L136" s="5">
        <f>INDEX(products!$A$1:$G$49,MATCH(orders!$D136, products!$A$1:$A$49,0), MATCH(orders!L$1,products!$A$1:$G$1,0))</f>
        <v>31.624999999999996</v>
      </c>
      <c r="M136" s="5">
        <f t="shared" si="6"/>
        <v>94.874999999999986</v>
      </c>
      <c r="N136" t="str">
        <f t="shared" si="7"/>
        <v>Excelsa</v>
      </c>
      <c r="O136" t="str">
        <f t="shared" si="8"/>
        <v>Medium</v>
      </c>
      <c r="P136" t="str">
        <f>_xlfn.XLOOKUP(Table1[[#This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IF(_xlfn.XLOOKUP(C137,customers!$A$1:$A$1001,customers!C136:C1136,,0)=0,"",_xlfn.XLOOKUP(C137,customers!$A$1:$A$1001,customers!C136:C1136,,0))</f>
        <v>lrushmer65@europa.eu</v>
      </c>
      <c r="H137" s="2" t="str">
        <f>_xlfn.XLOOKUP(orders!C137,customers!$A$1:$A$1001,customers!$G$1:$G$1001,,0)</f>
        <v>United States</v>
      </c>
      <c r="I137" t="str">
        <f>INDEX(products!$A$1:$G$49,MATCH(orders!$D137, products!$A$1:$A$49,0), MATCH(orders!I$1,products!$A$1:$G$1,0))</f>
        <v>Ara</v>
      </c>
      <c r="J137" t="str">
        <f>INDEX(products!$A$1:$G$49,MATCH(orders!$D137, products!$A$1:$A$49,0), MATCH(orders!J$1,products!$A$1:$G$1,0))</f>
        <v>L</v>
      </c>
      <c r="K137" s="4">
        <f>INDEX(products!$A$1:$G$49,MATCH(orders!$D137, products!$A$1:$A$49,0), MATCH(orders!K$1,products!$A$1:$G$1,0))</f>
        <v>0.5</v>
      </c>
      <c r="L137" s="5">
        <f>INDEX(products!$A$1:$G$49,MATCH(orders!$D137, products!$A$1:$A$49,0), MATCH(orders!L$1,products!$A$1:$G$1,0))</f>
        <v>7.77</v>
      </c>
      <c r="M137" s="5">
        <f t="shared" si="6"/>
        <v>38.849999999999994</v>
      </c>
      <c r="N137" t="str">
        <f t="shared" si="7"/>
        <v>Arabica</v>
      </c>
      <c r="O137" t="str">
        <f t="shared" si="8"/>
        <v>Light</v>
      </c>
      <c r="P137" t="str">
        <f>_xlfn.XLOOKUP(Table1[[#This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IF(_xlfn.XLOOKUP(C138,customers!$A$1:$A$1001,customers!C137:C1137,,0)=0,"",_xlfn.XLOOKUP(C138,customers!$A$1:$A$1001,customers!C137:C1137,,0))</f>
        <v>zcarlson7k@bigcartel.com</v>
      </c>
      <c r="H138" s="2" t="str">
        <f>_xlfn.XLOOKUP(orders!C138,customers!$A$1:$A$1001,customers!$G$1:$G$1001,,0)</f>
        <v>United States</v>
      </c>
      <c r="I138" t="str">
        <f>INDEX(products!$A$1:$G$49,MATCH(orders!$D138, products!$A$1:$A$49,0), MATCH(orders!I$1,products!$A$1:$G$1,0))</f>
        <v>Ara</v>
      </c>
      <c r="J138" t="str">
        <f>INDEX(products!$A$1:$G$49,MATCH(orders!$D138, products!$A$1:$A$49,0), MATCH(orders!J$1,products!$A$1:$G$1,0))</f>
        <v>D</v>
      </c>
      <c r="K138" s="4">
        <f>INDEX(products!$A$1:$G$49,MATCH(orders!$D138, products!$A$1:$A$49,0), MATCH(orders!K$1,products!$A$1:$G$1,0))</f>
        <v>0.2</v>
      </c>
      <c r="L138" s="5">
        <f>INDEX(products!$A$1:$G$49,MATCH(orders!$D138, products!$A$1:$A$49,0), MATCH(orders!L$1,products!$A$1:$G$1,0))</f>
        <v>2.9849999999999999</v>
      </c>
      <c r="M138" s="5">
        <f t="shared" si="6"/>
        <v>11.94</v>
      </c>
      <c r="N138" t="str">
        <f t="shared" si="7"/>
        <v>Arabica</v>
      </c>
      <c r="O138" t="str">
        <f t="shared" si="8"/>
        <v>Dark</v>
      </c>
      <c r="P138" t="str">
        <f>_xlfn.XLOOKUP(Table1[[#This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IF(_xlfn.XLOOKUP(C139,customers!$A$1:$A$1001,customers!C138:C1138,,0)=0,"",_xlfn.XLOOKUP(C139,customers!$A$1:$A$1001,customers!C138:C1138,,0))</f>
        <v>dhedlestone7m@craigslist.org</v>
      </c>
      <c r="H139" s="2" t="str">
        <f>_xlfn.XLOOKUP(orders!C139,customers!$A$1:$A$1001,customers!$G$1:$G$1001,,0)</f>
        <v>Ireland</v>
      </c>
      <c r="I139" t="str">
        <f>INDEX(products!$A$1:$G$49,MATCH(orders!$D139, products!$A$1:$A$49,0), MATCH(orders!I$1,products!$A$1:$G$1,0))</f>
        <v>Exc</v>
      </c>
      <c r="J139" t="str">
        <f>INDEX(products!$A$1:$G$49,MATCH(orders!$D139, products!$A$1:$A$49,0), MATCH(orders!J$1,products!$A$1:$G$1,0))</f>
        <v>L</v>
      </c>
      <c r="K139" s="4">
        <f>INDEX(products!$A$1:$G$49,MATCH(orders!$D139, products!$A$1:$A$49,0), MATCH(orders!K$1,products!$A$1:$G$1,0))</f>
        <v>2.5</v>
      </c>
      <c r="L139" s="5">
        <f>INDEX(products!$A$1:$G$49,MATCH(orders!$D139, products!$A$1:$A$49,0), MATCH(orders!L$1,products!$A$1:$G$1,0))</f>
        <v>34.154999999999994</v>
      </c>
      <c r="M139" s="5">
        <f t="shared" si="6"/>
        <v>102.46499999999997</v>
      </c>
      <c r="N139" t="str">
        <f t="shared" si="7"/>
        <v>Excelsa</v>
      </c>
      <c r="O139" t="str">
        <f t="shared" si="8"/>
        <v>Light</v>
      </c>
      <c r="P139" t="str">
        <f>_xlfn.XLOOKUP(Table1[[#This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IF(_xlfn.XLOOKUP(C140,customers!$A$1:$A$1001,customers!C139:C1139,,0)=0,"",_xlfn.XLOOKUP(C140,customers!$A$1:$A$1001,customers!C139:C1139,,0))</f>
        <v>dbury7o@tinyurl.com</v>
      </c>
      <c r="H140" s="2" t="str">
        <f>_xlfn.XLOOKUP(orders!C140,customers!$A$1:$A$1001,customers!$G$1:$G$1001,,0)</f>
        <v>United States</v>
      </c>
      <c r="I140" t="str">
        <f>INDEX(products!$A$1:$G$49,MATCH(orders!$D140, products!$A$1:$A$49,0), MATCH(orders!I$1,products!$A$1:$G$1,0))</f>
        <v>Exc</v>
      </c>
      <c r="J140" t="str">
        <f>INDEX(products!$A$1:$G$49,MATCH(orders!$D140, products!$A$1:$A$49,0), MATCH(orders!J$1,products!$A$1:$G$1,0))</f>
        <v>D</v>
      </c>
      <c r="K140" s="4">
        <f>INDEX(products!$A$1:$G$49,MATCH(orders!$D140, products!$A$1:$A$49,0), MATCH(orders!K$1,products!$A$1:$G$1,0))</f>
        <v>1</v>
      </c>
      <c r="L140" s="5">
        <f>INDEX(products!$A$1:$G$49,MATCH(orders!$D140, products!$A$1:$A$49,0), MATCH(orders!L$1,products!$A$1:$G$1,0))</f>
        <v>12.15</v>
      </c>
      <c r="M140" s="5">
        <f t="shared" si="6"/>
        <v>48.6</v>
      </c>
      <c r="N140" t="str">
        <f t="shared" si="7"/>
        <v>Excelsa</v>
      </c>
      <c r="O140" t="str">
        <f t="shared" si="8"/>
        <v>Dark</v>
      </c>
      <c r="P140" t="str">
        <f>_xlfn.XLOOKUP(Table1[[#This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IF(_xlfn.XLOOKUP(C141,customers!$A$1:$A$1001,customers!C140:C1140,,0)=0,"",_xlfn.XLOOKUP(C141,customers!$A$1:$A$1001,customers!C140:C1140,,0))</f>
        <v>epalfrey7q@devhub.com</v>
      </c>
      <c r="H141" s="2" t="str">
        <f>_xlfn.XLOOKUP(orders!C141,customers!$A$1:$A$1001,customers!$G$1:$G$1001,,0)</f>
        <v>United States</v>
      </c>
      <c r="I141" t="str">
        <f>INDEX(products!$A$1:$G$49,MATCH(orders!$D141, products!$A$1:$A$49,0), MATCH(orders!I$1,products!$A$1:$G$1,0))</f>
        <v>Lib</v>
      </c>
      <c r="J141" t="str">
        <f>INDEX(products!$A$1:$G$49,MATCH(orders!$D141, products!$A$1:$A$49,0), MATCH(orders!J$1,products!$A$1:$G$1,0))</f>
        <v>D</v>
      </c>
      <c r="K141" s="4">
        <f>INDEX(products!$A$1:$G$49,MATCH(orders!$D141, products!$A$1:$A$49,0), MATCH(orders!K$1,products!$A$1:$G$1,0))</f>
        <v>1</v>
      </c>
      <c r="L141" s="5">
        <f>INDEX(products!$A$1:$G$49,MATCH(orders!$D141, products!$A$1:$A$49,0), MATCH(orders!L$1,products!$A$1:$G$1,0))</f>
        <v>12.95</v>
      </c>
      <c r="M141" s="5">
        <f t="shared" si="6"/>
        <v>77.699999999999989</v>
      </c>
      <c r="N141" t="str">
        <f t="shared" si="7"/>
        <v>Liberica</v>
      </c>
      <c r="O141" t="str">
        <f t="shared" si="8"/>
        <v>Dark</v>
      </c>
      <c r="P141" t="str">
        <f>_xlfn.XLOOKUP(Table1[[#This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IF(_xlfn.XLOOKUP(C142,customers!$A$1:$A$1001,customers!C141:C1141,,0)=0,"",_xlfn.XLOOKUP(C142,customers!$A$1:$A$1001,customers!C141:C1141,,0))</f>
        <v/>
      </c>
      <c r="H142" s="2" t="str">
        <f>_xlfn.XLOOKUP(orders!C142,customers!$A$1:$A$1001,customers!$G$1:$G$1001,,0)</f>
        <v>Ireland</v>
      </c>
      <c r="I142" t="str">
        <f>INDEX(products!$A$1:$G$49,MATCH(orders!$D142, products!$A$1:$A$49,0), MATCH(orders!I$1,products!$A$1:$G$1,0))</f>
        <v>Lib</v>
      </c>
      <c r="J142" t="str">
        <f>INDEX(products!$A$1:$G$49,MATCH(orders!$D142, products!$A$1:$A$49,0), MATCH(orders!J$1,products!$A$1:$G$1,0))</f>
        <v>D</v>
      </c>
      <c r="K142" s="4">
        <f>INDEX(products!$A$1:$G$49,MATCH(orders!$D142, products!$A$1:$A$49,0), MATCH(orders!K$1,products!$A$1:$G$1,0))</f>
        <v>2.5</v>
      </c>
      <c r="L142" s="5">
        <f>INDEX(products!$A$1:$G$49,MATCH(orders!$D142, products!$A$1:$A$49,0), MATCH(orders!L$1,products!$A$1:$G$1,0))</f>
        <v>29.784999999999997</v>
      </c>
      <c r="M142" s="5">
        <f t="shared" si="6"/>
        <v>29.784999999999997</v>
      </c>
      <c r="N142" t="str">
        <f t="shared" si="7"/>
        <v>Liberica</v>
      </c>
      <c r="O142" t="str">
        <f t="shared" si="8"/>
        <v>Dark</v>
      </c>
      <c r="P142" t="str">
        <f>_xlfn.XLOOKUP(Table1[[#This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IF(_xlfn.XLOOKUP(C143,customers!$A$1:$A$1001,customers!C142:C1142,,0)=0,"",_xlfn.XLOOKUP(C143,customers!$A$1:$A$1001,customers!C142:C1142,,0))</f>
        <v>fcrumpe7u@ftc.gov</v>
      </c>
      <c r="H143" s="2" t="str">
        <f>_xlfn.XLOOKUP(orders!C143,customers!$A$1:$A$1001,customers!$G$1:$G$1001,,0)</f>
        <v>United States</v>
      </c>
      <c r="I143" t="str">
        <f>INDEX(products!$A$1:$G$49,MATCH(orders!$D143, products!$A$1:$A$49,0), MATCH(orders!I$1,products!$A$1:$G$1,0))</f>
        <v>Ara</v>
      </c>
      <c r="J143" t="str">
        <f>INDEX(products!$A$1:$G$49,MATCH(orders!$D143, products!$A$1:$A$49,0), MATCH(orders!J$1,products!$A$1:$G$1,0))</f>
        <v>L</v>
      </c>
      <c r="K143" s="4">
        <f>INDEX(products!$A$1:$G$49,MATCH(orders!$D143, products!$A$1:$A$49,0), MATCH(orders!K$1,products!$A$1:$G$1,0))</f>
        <v>0.2</v>
      </c>
      <c r="L143" s="5">
        <f>INDEX(products!$A$1:$G$49,MATCH(orders!$D143, products!$A$1:$A$49,0), MATCH(orders!L$1,products!$A$1:$G$1,0))</f>
        <v>3.8849999999999998</v>
      </c>
      <c r="M143" s="5">
        <f t="shared" si="6"/>
        <v>15.54</v>
      </c>
      <c r="N143" t="str">
        <f t="shared" si="7"/>
        <v>Arabica</v>
      </c>
      <c r="O143" t="str">
        <f t="shared" si="8"/>
        <v>Light</v>
      </c>
      <c r="P143" t="str">
        <f>_xlfn.XLOOKUP(Table1[[#This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IF(_xlfn.XLOOKUP(C144,customers!$A$1:$A$1001,customers!C143:C1143,,0)=0,"",_xlfn.XLOOKUP(C144,customers!$A$1:$A$1001,customers!C143:C1143,,0))</f>
        <v/>
      </c>
      <c r="H144" s="2" t="str">
        <f>_xlfn.XLOOKUP(orders!C144,customers!$A$1:$A$1001,customers!$G$1:$G$1001,,0)</f>
        <v>Ireland</v>
      </c>
      <c r="I144" t="str">
        <f>INDEX(products!$A$1:$G$49,MATCH(orders!$D144, products!$A$1:$A$49,0), MATCH(orders!I$1,products!$A$1:$G$1,0))</f>
        <v>Exc</v>
      </c>
      <c r="J144" t="str">
        <f>INDEX(products!$A$1:$G$49,MATCH(orders!$D144, products!$A$1:$A$49,0), MATCH(orders!J$1,products!$A$1:$G$1,0))</f>
        <v>L</v>
      </c>
      <c r="K144" s="4">
        <f>INDEX(products!$A$1:$G$49,MATCH(orders!$D144, products!$A$1:$A$49,0), MATCH(orders!K$1,products!$A$1:$G$1,0))</f>
        <v>2.5</v>
      </c>
      <c r="L144" s="5">
        <f>INDEX(products!$A$1:$G$49,MATCH(orders!$D144, products!$A$1:$A$49,0), MATCH(orders!L$1,products!$A$1:$G$1,0))</f>
        <v>34.154999999999994</v>
      </c>
      <c r="M144" s="5">
        <f t="shared" si="6"/>
        <v>136.61999999999998</v>
      </c>
      <c r="N144" t="str">
        <f t="shared" si="7"/>
        <v>Excelsa</v>
      </c>
      <c r="O144" t="str">
        <f t="shared" si="8"/>
        <v>Light</v>
      </c>
      <c r="P144" t="str">
        <f>_xlfn.XLOOKUP(Table1[[#This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IF(_xlfn.XLOOKUP(C145,customers!$A$1:$A$1001,customers!C144:C1144,,0)=0,"",_xlfn.XLOOKUP(C145,customers!$A$1:$A$1001,customers!C144:C1144,,0))</f>
        <v>bmergue7y@umn.edu</v>
      </c>
      <c r="H145" s="2" t="str">
        <f>_xlfn.XLOOKUP(orders!C145,customers!$A$1:$A$1001,customers!$G$1:$G$1001,,0)</f>
        <v>United States</v>
      </c>
      <c r="I145" t="str">
        <f>INDEX(products!$A$1:$G$49,MATCH(orders!$D145, products!$A$1:$A$49,0), MATCH(orders!I$1,products!$A$1:$G$1,0))</f>
        <v>Lib</v>
      </c>
      <c r="J145" t="str">
        <f>INDEX(products!$A$1:$G$49,MATCH(orders!$D145, products!$A$1:$A$49,0), MATCH(orders!J$1,products!$A$1:$G$1,0))</f>
        <v>M</v>
      </c>
      <c r="K145" s="4">
        <f>INDEX(products!$A$1:$G$49,MATCH(orders!$D145, products!$A$1:$A$49,0), MATCH(orders!K$1,products!$A$1:$G$1,0))</f>
        <v>0.5</v>
      </c>
      <c r="L145" s="5">
        <f>INDEX(products!$A$1:$G$49,MATCH(orders!$D145, products!$A$1:$A$49,0), MATCH(orders!L$1,products!$A$1:$G$1,0))</f>
        <v>8.73</v>
      </c>
      <c r="M145" s="5">
        <f t="shared" si="6"/>
        <v>17.46</v>
      </c>
      <c r="N145" t="str">
        <f t="shared" si="7"/>
        <v>Liberica</v>
      </c>
      <c r="O145" t="str">
        <f t="shared" si="8"/>
        <v>Medium</v>
      </c>
      <c r="P145" t="str">
        <f>_xlfn.XLOOKUP(Table1[[#This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IF(_xlfn.XLOOKUP(C146,customers!$A$1:$A$1001,customers!C145:C1145,,0)=0,"",_xlfn.XLOOKUP(C146,customers!$A$1:$A$1001,customers!C145:C1145,,0))</f>
        <v/>
      </c>
      <c r="H146" s="2" t="str">
        <f>_xlfn.XLOOKUP(orders!C146,customers!$A$1:$A$1001,customers!$G$1:$G$1001,,0)</f>
        <v>United States</v>
      </c>
      <c r="I146" t="str">
        <f>INDEX(products!$A$1:$G$49,MATCH(orders!$D146, products!$A$1:$A$49,0), MATCH(orders!I$1,products!$A$1:$G$1,0))</f>
        <v>Exc</v>
      </c>
      <c r="J146" t="str">
        <f>INDEX(products!$A$1:$G$49,MATCH(orders!$D146, products!$A$1:$A$49,0), MATCH(orders!J$1,products!$A$1:$G$1,0))</f>
        <v>L</v>
      </c>
      <c r="K146" s="4">
        <f>INDEX(products!$A$1:$G$49,MATCH(orders!$D146, products!$A$1:$A$49,0), MATCH(orders!K$1,products!$A$1:$G$1,0))</f>
        <v>2.5</v>
      </c>
      <c r="L146" s="5">
        <f>INDEX(products!$A$1:$G$49,MATCH(orders!$D146, products!$A$1:$A$49,0), MATCH(orders!L$1,products!$A$1:$G$1,0))</f>
        <v>34.154999999999994</v>
      </c>
      <c r="M146" s="5">
        <f t="shared" si="6"/>
        <v>68.309999999999988</v>
      </c>
      <c r="N146" t="str">
        <f t="shared" si="7"/>
        <v>Excelsa</v>
      </c>
      <c r="O146" t="str">
        <f t="shared" si="8"/>
        <v>Light</v>
      </c>
      <c r="P146" t="str">
        <f>_xlfn.XLOOKUP(Table1[[#This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IF(_xlfn.XLOOKUP(C147,customers!$A$1:$A$1001,customers!C146:C1146,,0)=0,"",_xlfn.XLOOKUP(C147,customers!$A$1:$A$1001,customers!C146:C1146,,0))</f>
        <v>dduke82@vkontakte.ru</v>
      </c>
      <c r="H147" s="2" t="str">
        <f>_xlfn.XLOOKUP(orders!C147,customers!$A$1:$A$1001,customers!$G$1:$G$1001,,0)</f>
        <v>United States</v>
      </c>
      <c r="I147" t="str">
        <f>INDEX(products!$A$1:$G$49,MATCH(orders!$D147, products!$A$1:$A$49,0), MATCH(orders!I$1,products!$A$1:$G$1,0))</f>
        <v>Lib</v>
      </c>
      <c r="J147" t="str">
        <f>INDEX(products!$A$1:$G$49,MATCH(orders!$D147, products!$A$1:$A$49,0), MATCH(orders!J$1,products!$A$1:$G$1,0))</f>
        <v>M</v>
      </c>
      <c r="K147" s="4">
        <f>INDEX(products!$A$1:$G$49,MATCH(orders!$D147, products!$A$1:$A$49,0), MATCH(orders!K$1,products!$A$1:$G$1,0))</f>
        <v>0.2</v>
      </c>
      <c r="L147" s="5">
        <f>INDEX(products!$A$1:$G$49,MATCH(orders!$D147, products!$A$1:$A$49,0), MATCH(orders!L$1,products!$A$1:$G$1,0))</f>
        <v>4.3650000000000002</v>
      </c>
      <c r="M147" s="5">
        <f t="shared" si="6"/>
        <v>17.46</v>
      </c>
      <c r="N147" t="str">
        <f t="shared" si="7"/>
        <v>Liberica</v>
      </c>
      <c r="O147" t="str">
        <f t="shared" si="8"/>
        <v>Medium</v>
      </c>
      <c r="P147" t="str">
        <f>_xlfn.XLOOKUP(Table1[[#This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IF(_xlfn.XLOOKUP(C148,customers!$A$1:$A$1001,customers!C147:C1147,,0)=0,"",_xlfn.XLOOKUP(C148,customers!$A$1:$A$1001,customers!C147:C1147,,0))</f>
        <v>ihussey84@mapy.cz</v>
      </c>
      <c r="H148" s="2" t="str">
        <f>_xlfn.XLOOKUP(orders!C148,customers!$A$1:$A$1001,customers!$G$1:$G$1001,,0)</f>
        <v>United States</v>
      </c>
      <c r="I148" t="str">
        <f>INDEX(products!$A$1:$G$49,MATCH(orders!$D148, products!$A$1:$A$49,0), MATCH(orders!I$1,products!$A$1:$G$1,0))</f>
        <v>Lib</v>
      </c>
      <c r="J148" t="str">
        <f>INDEX(products!$A$1:$G$49,MATCH(orders!$D148, products!$A$1:$A$49,0), MATCH(orders!J$1,products!$A$1:$G$1,0))</f>
        <v>M</v>
      </c>
      <c r="K148" s="4">
        <f>INDEX(products!$A$1:$G$49,MATCH(orders!$D148, products!$A$1:$A$49,0), MATCH(orders!K$1,products!$A$1:$G$1,0))</f>
        <v>1</v>
      </c>
      <c r="L148" s="5">
        <f>INDEX(products!$A$1:$G$49,MATCH(orders!$D148, products!$A$1:$A$49,0), MATCH(orders!L$1,products!$A$1:$G$1,0))</f>
        <v>14.55</v>
      </c>
      <c r="M148" s="5">
        <f t="shared" si="6"/>
        <v>43.650000000000006</v>
      </c>
      <c r="N148" t="str">
        <f t="shared" si="7"/>
        <v>Liberica</v>
      </c>
      <c r="O148" t="str">
        <f t="shared" si="8"/>
        <v>Medium</v>
      </c>
      <c r="P148" t="str">
        <f>_xlfn.XLOOKUP(Table1[[#This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IF(_xlfn.XLOOKUP(C149,customers!$A$1:$A$1001,customers!C148:C1148,,0)=0,"",_xlfn.XLOOKUP(C149,customers!$A$1:$A$1001,customers!C148:C1148,,0))</f>
        <v>cpinkerton85@upenn.edu</v>
      </c>
      <c r="H149" s="2" t="str">
        <f>_xlfn.XLOOKUP(orders!C149,customers!$A$1:$A$1001,customers!$G$1:$G$1001,,0)</f>
        <v>United States</v>
      </c>
      <c r="I149" t="str">
        <f>INDEX(products!$A$1:$G$49,MATCH(orders!$D149, products!$A$1:$A$49,0), MATCH(orders!I$1,products!$A$1:$G$1,0))</f>
        <v>Exc</v>
      </c>
      <c r="J149" t="str">
        <f>INDEX(products!$A$1:$G$49,MATCH(orders!$D149, products!$A$1:$A$49,0), MATCH(orders!J$1,products!$A$1:$G$1,0))</f>
        <v>M</v>
      </c>
      <c r="K149" s="4">
        <f>INDEX(products!$A$1:$G$49,MATCH(orders!$D149, products!$A$1:$A$49,0), MATCH(orders!K$1,products!$A$1:$G$1,0))</f>
        <v>1</v>
      </c>
      <c r="L149" s="5">
        <f>INDEX(products!$A$1:$G$49,MATCH(orders!$D149, products!$A$1:$A$49,0), MATCH(orders!L$1,products!$A$1:$G$1,0))</f>
        <v>13.75</v>
      </c>
      <c r="M149" s="5">
        <f t="shared" si="6"/>
        <v>27.5</v>
      </c>
      <c r="N149" t="str">
        <f t="shared" si="7"/>
        <v>Excelsa</v>
      </c>
      <c r="O149" t="str">
        <f t="shared" si="8"/>
        <v>Medium</v>
      </c>
      <c r="P149" t="str">
        <f>_xlfn.XLOOKUP(Table1[[#This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IF(_xlfn.XLOOKUP(C150,customers!$A$1:$A$1001,customers!C149:C1149,,0)=0,"",_xlfn.XLOOKUP(C150,customers!$A$1:$A$1001,customers!C149:C1149,,0))</f>
        <v>dvizor88@furl.net</v>
      </c>
      <c r="H150" s="2" t="str">
        <f>_xlfn.XLOOKUP(orders!C150,customers!$A$1:$A$1001,customers!$G$1:$G$1001,,0)</f>
        <v>United States</v>
      </c>
      <c r="I150" t="str">
        <f>INDEX(products!$A$1:$G$49,MATCH(orders!$D150, products!$A$1:$A$49,0), MATCH(orders!I$1,products!$A$1:$G$1,0))</f>
        <v>Exc</v>
      </c>
      <c r="J150" t="str">
        <f>INDEX(products!$A$1:$G$49,MATCH(orders!$D150, products!$A$1:$A$49,0), MATCH(orders!J$1,products!$A$1:$G$1,0))</f>
        <v>D</v>
      </c>
      <c r="K150" s="4">
        <f>INDEX(products!$A$1:$G$49,MATCH(orders!$D150, products!$A$1:$A$49,0), MATCH(orders!K$1,products!$A$1:$G$1,0))</f>
        <v>0.2</v>
      </c>
      <c r="L150" s="5">
        <f>INDEX(products!$A$1:$G$49,MATCH(orders!$D150, products!$A$1:$A$49,0), MATCH(orders!L$1,products!$A$1:$G$1,0))</f>
        <v>3.645</v>
      </c>
      <c r="M150" s="5">
        <f t="shared" si="6"/>
        <v>18.225000000000001</v>
      </c>
      <c r="N150" t="str">
        <f t="shared" si="7"/>
        <v>Excelsa</v>
      </c>
      <c r="O150" t="str">
        <f t="shared" si="8"/>
        <v>Dark</v>
      </c>
      <c r="P150" t="str">
        <f>_xlfn.XLOOKUP(Table1[[#This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IF(_xlfn.XLOOKUP(C151,customers!$A$1:$A$1001,customers!C150:C1150,,0)=0,"",_xlfn.XLOOKUP(C151,customers!$A$1:$A$1001,customers!C150:C1150,,0))</f>
        <v>klestrange8a@lulu.com</v>
      </c>
      <c r="H151" s="2" t="str">
        <f>_xlfn.XLOOKUP(orders!C151,customers!$A$1:$A$1001,customers!$G$1:$G$1001,,0)</f>
        <v>United States</v>
      </c>
      <c r="I151" t="str">
        <f>INDEX(products!$A$1:$G$49,MATCH(orders!$D151, products!$A$1:$A$49,0), MATCH(orders!I$1,products!$A$1:$G$1,0))</f>
        <v>Ara</v>
      </c>
      <c r="J151" t="str">
        <f>INDEX(products!$A$1:$G$49,MATCH(orders!$D151, products!$A$1:$A$49,0), MATCH(orders!J$1,products!$A$1:$G$1,0))</f>
        <v>M</v>
      </c>
      <c r="K151" s="4">
        <f>INDEX(products!$A$1:$G$49,MATCH(orders!$D151, products!$A$1:$A$49,0), MATCH(orders!K$1,products!$A$1:$G$1,0))</f>
        <v>2.5</v>
      </c>
      <c r="L151" s="5">
        <f>INDEX(products!$A$1:$G$49,MATCH(orders!$D151, products!$A$1:$A$49,0), MATCH(orders!L$1,products!$A$1:$G$1,0))</f>
        <v>25.874999999999996</v>
      </c>
      <c r="M151" s="5">
        <f t="shared" si="6"/>
        <v>51.749999999999993</v>
      </c>
      <c r="N151" t="str">
        <f t="shared" si="7"/>
        <v>Arabica</v>
      </c>
      <c r="O151" t="str">
        <f t="shared" si="8"/>
        <v>Medium</v>
      </c>
      <c r="P151" t="str">
        <f>_xlfn.XLOOKUP(Table1[[#This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IF(_xlfn.XLOOKUP(C152,customers!$A$1:$A$1001,customers!C151:C1151,,0)=0,"",_xlfn.XLOOKUP(C152,customers!$A$1:$A$1001,customers!C151:C1151,,0))</f>
        <v>ade8c@1und1.de</v>
      </c>
      <c r="H152" s="2" t="str">
        <f>_xlfn.XLOOKUP(orders!C152,customers!$A$1:$A$1001,customers!$G$1:$G$1001,,0)</f>
        <v>United States</v>
      </c>
      <c r="I152" t="str">
        <f>INDEX(products!$A$1:$G$49,MATCH(orders!$D152, products!$A$1:$A$49,0), MATCH(orders!I$1,products!$A$1:$G$1,0))</f>
        <v>Lib</v>
      </c>
      <c r="J152" t="str">
        <f>INDEX(products!$A$1:$G$49,MATCH(orders!$D152, products!$A$1:$A$49,0), MATCH(orders!J$1,products!$A$1:$G$1,0))</f>
        <v>D</v>
      </c>
      <c r="K152" s="4">
        <f>INDEX(products!$A$1:$G$49,MATCH(orders!$D152, products!$A$1:$A$49,0), MATCH(orders!K$1,products!$A$1:$G$1,0))</f>
        <v>1</v>
      </c>
      <c r="L152" s="5">
        <f>INDEX(products!$A$1:$G$49,MATCH(orders!$D152, products!$A$1:$A$49,0), MATCH(orders!L$1,products!$A$1:$G$1,0))</f>
        <v>12.95</v>
      </c>
      <c r="M152" s="5">
        <f t="shared" si="6"/>
        <v>12.95</v>
      </c>
      <c r="N152" t="str">
        <f t="shared" si="7"/>
        <v>Liberica</v>
      </c>
      <c r="O152" t="str">
        <f t="shared" si="8"/>
        <v>Dark</v>
      </c>
      <c r="P152" t="str">
        <f>_xlfn.XLOOKUP(Table1[[#This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IF(_xlfn.XLOOKUP(C153,customers!$A$1:$A$1001,customers!C152:C1152,,0)=0,"",_xlfn.XLOOKUP(C153,customers!$A$1:$A$1001,customers!C152:C1152,,0))</f>
        <v>pstonner8e@moonfruit.com</v>
      </c>
      <c r="H153" s="2" t="str">
        <f>_xlfn.XLOOKUP(orders!C153,customers!$A$1:$A$1001,customers!$G$1:$G$1001,,0)</f>
        <v>United States</v>
      </c>
      <c r="I153" t="str">
        <f>INDEX(products!$A$1:$G$49,MATCH(orders!$D153, products!$A$1:$A$49,0), MATCH(orders!I$1,products!$A$1:$G$1,0))</f>
        <v>Ara</v>
      </c>
      <c r="J153" t="str">
        <f>INDEX(products!$A$1:$G$49,MATCH(orders!$D153, products!$A$1:$A$49,0), MATCH(orders!J$1,products!$A$1:$G$1,0))</f>
        <v>M</v>
      </c>
      <c r="K153" s="4">
        <f>INDEX(products!$A$1:$G$49,MATCH(orders!$D153, products!$A$1:$A$49,0), MATCH(orders!K$1,products!$A$1:$G$1,0))</f>
        <v>1</v>
      </c>
      <c r="L153" s="5">
        <f>INDEX(products!$A$1:$G$49,MATCH(orders!$D153, products!$A$1:$A$49,0), MATCH(orders!L$1,products!$A$1:$G$1,0))</f>
        <v>11.25</v>
      </c>
      <c r="M153" s="5">
        <f t="shared" si="6"/>
        <v>33.75</v>
      </c>
      <c r="N153" t="str">
        <f t="shared" si="7"/>
        <v>Arabica</v>
      </c>
      <c r="O153" t="str">
        <f t="shared" si="8"/>
        <v>Medium</v>
      </c>
      <c r="P153" t="str">
        <f>_xlfn.XLOOKUP(Table1[[#This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IF(_xlfn.XLOOKUP(C154,customers!$A$1:$A$1001,customers!C153:C1153,,0)=0,"",_xlfn.XLOOKUP(C154,customers!$A$1:$A$1001,customers!C153:C1153,,0))</f>
        <v>rwhife8g@360.cn</v>
      </c>
      <c r="H154" s="2" t="str">
        <f>_xlfn.XLOOKUP(orders!C154,customers!$A$1:$A$1001,customers!$G$1:$G$1001,,0)</f>
        <v>United States</v>
      </c>
      <c r="I154" t="str">
        <f>INDEX(products!$A$1:$G$49,MATCH(orders!$D154, products!$A$1:$A$49,0), MATCH(orders!I$1,products!$A$1:$G$1,0))</f>
        <v>Rob</v>
      </c>
      <c r="J154" t="str">
        <f>INDEX(products!$A$1:$G$49,MATCH(orders!$D154, products!$A$1:$A$49,0), MATCH(orders!J$1,products!$A$1:$G$1,0))</f>
        <v>M</v>
      </c>
      <c r="K154" s="4">
        <f>INDEX(products!$A$1:$G$49,MATCH(orders!$D154, products!$A$1:$A$49,0), MATCH(orders!K$1,products!$A$1:$G$1,0))</f>
        <v>2.5</v>
      </c>
      <c r="L154" s="5">
        <f>INDEX(products!$A$1:$G$49,MATCH(orders!$D154, products!$A$1:$A$49,0), MATCH(orders!L$1,products!$A$1:$G$1,0))</f>
        <v>22.884999999999998</v>
      </c>
      <c r="M154" s="5">
        <f t="shared" si="6"/>
        <v>68.655000000000001</v>
      </c>
      <c r="N154" t="str">
        <f t="shared" si="7"/>
        <v>Robusta</v>
      </c>
      <c r="O154" t="str">
        <f t="shared" si="8"/>
        <v>Medium</v>
      </c>
      <c r="P154" t="str">
        <f>_xlfn.XLOOKUP(Table1[[#This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IF(_xlfn.XLOOKUP(C155,customers!$A$1:$A$1001,customers!C154:C1154,,0)=0,"",_xlfn.XLOOKUP(C155,customers!$A$1:$A$1001,customers!C154:C1154,,0))</f>
        <v>jbagot8i@mac.com</v>
      </c>
      <c r="H155" s="2" t="str">
        <f>_xlfn.XLOOKUP(orders!C155,customers!$A$1:$A$1001,customers!$G$1:$G$1001,,0)</f>
        <v>United States</v>
      </c>
      <c r="I155" t="str">
        <f>INDEX(products!$A$1:$G$49,MATCH(orders!$D155, products!$A$1:$A$49,0), MATCH(orders!I$1,products!$A$1:$G$1,0))</f>
        <v>Rob</v>
      </c>
      <c r="J155" t="str">
        <f>INDEX(products!$A$1:$G$49,MATCH(orders!$D155, products!$A$1:$A$49,0), MATCH(orders!J$1,products!$A$1:$G$1,0))</f>
        <v>D</v>
      </c>
      <c r="K155" s="4">
        <f>INDEX(products!$A$1:$G$49,MATCH(orders!$D155, products!$A$1:$A$49,0), MATCH(orders!K$1,products!$A$1:$G$1,0))</f>
        <v>0.2</v>
      </c>
      <c r="L155" s="5">
        <f>INDEX(products!$A$1:$G$49,MATCH(orders!$D155, products!$A$1:$A$49,0), MATCH(orders!L$1,products!$A$1:$G$1,0))</f>
        <v>2.6849999999999996</v>
      </c>
      <c r="M155" s="5">
        <f t="shared" si="6"/>
        <v>2.6849999999999996</v>
      </c>
      <c r="N155" t="str">
        <f t="shared" si="7"/>
        <v>Robusta</v>
      </c>
      <c r="O155" t="str">
        <f t="shared" si="8"/>
        <v>Dark</v>
      </c>
      <c r="P155" t="str">
        <f>_xlfn.XLOOKUP(Table1[[#This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IF(_xlfn.XLOOKUP(C156,customers!$A$1:$A$1001,customers!C155:C1155,,0)=0,"",_xlfn.XLOOKUP(C156,customers!$A$1:$A$1001,customers!C155:C1155,,0))</f>
        <v>cfluin8k@flickr.com</v>
      </c>
      <c r="H156" s="2" t="str">
        <f>_xlfn.XLOOKUP(orders!C156,customers!$A$1:$A$1001,customers!$G$1:$G$1001,,0)</f>
        <v>United States</v>
      </c>
      <c r="I156" t="str">
        <f>INDEX(products!$A$1:$G$49,MATCH(orders!$D156, products!$A$1:$A$49,0), MATCH(orders!I$1,products!$A$1:$G$1,0))</f>
        <v>Ara</v>
      </c>
      <c r="J156" t="str">
        <f>INDEX(products!$A$1:$G$49,MATCH(orders!$D156, products!$A$1:$A$49,0), MATCH(orders!J$1,products!$A$1:$G$1,0))</f>
        <v>D</v>
      </c>
      <c r="K156" s="4">
        <f>INDEX(products!$A$1:$G$49,MATCH(orders!$D156, products!$A$1:$A$49,0), MATCH(orders!K$1,products!$A$1:$G$1,0))</f>
        <v>2.5</v>
      </c>
      <c r="L156" s="5">
        <f>INDEX(products!$A$1:$G$49,MATCH(orders!$D156, products!$A$1:$A$49,0), MATCH(orders!L$1,products!$A$1:$G$1,0))</f>
        <v>22.884999999999998</v>
      </c>
      <c r="M156" s="5">
        <f t="shared" si="6"/>
        <v>114.42499999999998</v>
      </c>
      <c r="N156" t="str">
        <f t="shared" si="7"/>
        <v>Arabica</v>
      </c>
      <c r="O156" t="str">
        <f t="shared" si="8"/>
        <v>Dark</v>
      </c>
      <c r="P156" t="str">
        <f>_xlfn.XLOOKUP(Table1[[#This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IF(_xlfn.XLOOKUP(C157,customers!$A$1:$A$1001,customers!C156:C1156,,0)=0,"",_xlfn.XLOOKUP(C157,customers!$A$1:$A$1001,customers!C156:C1156,,0))</f>
        <v>pbrydell8m@bloglovin.com</v>
      </c>
      <c r="H157" s="2" t="str">
        <f>_xlfn.XLOOKUP(orders!C157,customers!$A$1:$A$1001,customers!$G$1:$G$1001,,0)</f>
        <v>United States</v>
      </c>
      <c r="I157" t="str">
        <f>INDEX(products!$A$1:$G$49,MATCH(orders!$D157, products!$A$1:$A$49,0), MATCH(orders!I$1,products!$A$1:$G$1,0))</f>
        <v>Ara</v>
      </c>
      <c r="J157" t="str">
        <f>INDEX(products!$A$1:$G$49,MATCH(orders!$D157, products!$A$1:$A$49,0), MATCH(orders!J$1,products!$A$1:$G$1,0))</f>
        <v>M</v>
      </c>
      <c r="K157" s="4">
        <f>INDEX(products!$A$1:$G$49,MATCH(orders!$D157, products!$A$1:$A$49,0), MATCH(orders!K$1,products!$A$1:$G$1,0))</f>
        <v>2.5</v>
      </c>
      <c r="L157" s="5">
        <f>INDEX(products!$A$1:$G$49,MATCH(orders!$D157, products!$A$1:$A$49,0), MATCH(orders!L$1,products!$A$1:$G$1,0))</f>
        <v>25.874999999999996</v>
      </c>
      <c r="M157" s="5">
        <f t="shared" si="6"/>
        <v>155.24999999999997</v>
      </c>
      <c r="N157" t="str">
        <f t="shared" si="7"/>
        <v>Arabica</v>
      </c>
      <c r="O157" t="str">
        <f t="shared" si="8"/>
        <v>Medium</v>
      </c>
      <c r="P157" t="str">
        <f>_xlfn.XLOOKUP(Table1[[#This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IF(_xlfn.XLOOKUP(C158,customers!$A$1:$A$1001,customers!C157:C1157,,0)=0,"",_xlfn.XLOOKUP(C158,customers!$A$1:$A$1001,customers!C157:C1157,,0))</f>
        <v>nleethem8o@mac.com</v>
      </c>
      <c r="H158" s="2" t="str">
        <f>_xlfn.XLOOKUP(orders!C158,customers!$A$1:$A$1001,customers!$G$1:$G$1001,,0)</f>
        <v>United States</v>
      </c>
      <c r="I158" t="str">
        <f>INDEX(products!$A$1:$G$49,MATCH(orders!$D158, products!$A$1:$A$49,0), MATCH(orders!I$1,products!$A$1:$G$1,0))</f>
        <v>Ara</v>
      </c>
      <c r="J158" t="str">
        <f>INDEX(products!$A$1:$G$49,MATCH(orders!$D158, products!$A$1:$A$49,0), MATCH(orders!J$1,products!$A$1:$G$1,0))</f>
        <v>M</v>
      </c>
      <c r="K158" s="4">
        <f>INDEX(products!$A$1:$G$49,MATCH(orders!$D158, products!$A$1:$A$49,0), MATCH(orders!K$1,products!$A$1:$G$1,0))</f>
        <v>2.5</v>
      </c>
      <c r="L158" s="5">
        <f>INDEX(products!$A$1:$G$49,MATCH(orders!$D158, products!$A$1:$A$49,0), MATCH(orders!L$1,products!$A$1:$G$1,0))</f>
        <v>25.874999999999996</v>
      </c>
      <c r="M158" s="5">
        <f t="shared" si="6"/>
        <v>77.624999999999986</v>
      </c>
      <c r="N158" t="str">
        <f t="shared" si="7"/>
        <v>Arabica</v>
      </c>
      <c r="O158" t="str">
        <f t="shared" si="8"/>
        <v>Medium</v>
      </c>
      <c r="P158" t="str">
        <f>_xlfn.XLOOKUP(Table1[[#This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IF(_xlfn.XLOOKUP(C159,customers!$A$1:$A$1001,customers!C158:C1158,,0)=0,"",_xlfn.XLOOKUP(C159,customers!$A$1:$A$1001,customers!C158:C1158,,0))</f>
        <v/>
      </c>
      <c r="H159" s="2" t="str">
        <f>_xlfn.XLOOKUP(orders!C159,customers!$A$1:$A$1001,customers!$G$1:$G$1001,,0)</f>
        <v>Ireland</v>
      </c>
      <c r="I159" t="str">
        <f>INDEX(products!$A$1:$G$49,MATCH(orders!$D159, products!$A$1:$A$49,0), MATCH(orders!I$1,products!$A$1:$G$1,0))</f>
        <v>Rob</v>
      </c>
      <c r="J159" t="str">
        <f>INDEX(products!$A$1:$G$49,MATCH(orders!$D159, products!$A$1:$A$49,0), MATCH(orders!J$1,products!$A$1:$G$1,0))</f>
        <v>D</v>
      </c>
      <c r="K159" s="4">
        <f>INDEX(products!$A$1:$G$49,MATCH(orders!$D159, products!$A$1:$A$49,0), MATCH(orders!K$1,products!$A$1:$G$1,0))</f>
        <v>2.5</v>
      </c>
      <c r="L159" s="5">
        <f>INDEX(products!$A$1:$G$49,MATCH(orders!$D159, products!$A$1:$A$49,0), MATCH(orders!L$1,products!$A$1:$G$1,0))</f>
        <v>20.584999999999997</v>
      </c>
      <c r="M159" s="5">
        <f t="shared" si="6"/>
        <v>61.754999999999995</v>
      </c>
      <c r="N159" t="str">
        <f t="shared" si="7"/>
        <v>Robusta</v>
      </c>
      <c r="O159" t="str">
        <f t="shared" si="8"/>
        <v>Dark</v>
      </c>
      <c r="P159" t="str">
        <f>_xlfn.XLOOKUP(Table1[[#This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IF(_xlfn.XLOOKUP(C160,customers!$A$1:$A$1001,customers!C159:C1159,,0)=0,"",_xlfn.XLOOKUP(C160,customers!$A$1:$A$1001,customers!C159:C1159,,0))</f>
        <v>nlush8s@dedecms.com</v>
      </c>
      <c r="H160" s="2" t="str">
        <f>_xlfn.XLOOKUP(orders!C160,customers!$A$1:$A$1001,customers!$G$1:$G$1001,,0)</f>
        <v>United States</v>
      </c>
      <c r="I160" t="str">
        <f>INDEX(products!$A$1:$G$49,MATCH(orders!$D160, products!$A$1:$A$49,0), MATCH(orders!I$1,products!$A$1:$G$1,0))</f>
        <v>Rob</v>
      </c>
      <c r="J160" t="str">
        <f>INDEX(products!$A$1:$G$49,MATCH(orders!$D160, products!$A$1:$A$49,0), MATCH(orders!J$1,products!$A$1:$G$1,0))</f>
        <v>D</v>
      </c>
      <c r="K160" s="4">
        <f>INDEX(products!$A$1:$G$49,MATCH(orders!$D160, products!$A$1:$A$49,0), MATCH(orders!K$1,products!$A$1:$G$1,0))</f>
        <v>2.5</v>
      </c>
      <c r="L160" s="5">
        <f>INDEX(products!$A$1:$G$49,MATCH(orders!$D160, products!$A$1:$A$49,0), MATCH(orders!L$1,products!$A$1:$G$1,0))</f>
        <v>20.584999999999997</v>
      </c>
      <c r="M160" s="5">
        <f t="shared" si="6"/>
        <v>123.50999999999999</v>
      </c>
      <c r="N160" t="str">
        <f t="shared" si="7"/>
        <v>Robusta</v>
      </c>
      <c r="O160" t="str">
        <f t="shared" si="8"/>
        <v>Dark</v>
      </c>
      <c r="P160" t="str">
        <f>_xlfn.XLOOKUP(Table1[[#This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IF(_xlfn.XLOOKUP(C161,customers!$A$1:$A$1001,customers!C160:C1160,,0)=0,"",_xlfn.XLOOKUP(C161,customers!$A$1:$A$1001,customers!C160:C1160,,0))</f>
        <v>tbennison8u@google.cn</v>
      </c>
      <c r="H161" s="2" t="str">
        <f>_xlfn.XLOOKUP(orders!C161,customers!$A$1:$A$1001,customers!$G$1:$G$1001,,0)</f>
        <v>United States</v>
      </c>
      <c r="I161" t="str">
        <f>INDEX(products!$A$1:$G$49,MATCH(orders!$D161, products!$A$1:$A$49,0), MATCH(orders!I$1,products!$A$1:$G$1,0))</f>
        <v>Lib</v>
      </c>
      <c r="J161" t="str">
        <f>INDEX(products!$A$1:$G$49,MATCH(orders!$D161, products!$A$1:$A$49,0), MATCH(orders!J$1,products!$A$1:$G$1,0))</f>
        <v>L</v>
      </c>
      <c r="K161" s="4">
        <f>INDEX(products!$A$1:$G$49,MATCH(orders!$D161, products!$A$1:$A$49,0), MATCH(orders!K$1,products!$A$1:$G$1,0))</f>
        <v>2.5</v>
      </c>
      <c r="L161" s="5">
        <f>INDEX(products!$A$1:$G$49,MATCH(orders!$D161, products!$A$1:$A$49,0), MATCH(orders!L$1,products!$A$1:$G$1,0))</f>
        <v>36.454999999999998</v>
      </c>
      <c r="M161" s="5">
        <f t="shared" si="6"/>
        <v>218.73</v>
      </c>
      <c r="N161" t="str">
        <f t="shared" si="7"/>
        <v>Liberica</v>
      </c>
      <c r="O161" t="str">
        <f t="shared" si="8"/>
        <v>Light</v>
      </c>
      <c r="P161" t="str">
        <f>_xlfn.XLOOKUP(Table1[[#This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IF(_xlfn.XLOOKUP(C162,customers!$A$1:$A$1001,customers!C161:C1161,,0)=0,"",_xlfn.XLOOKUP(C162,customers!$A$1:$A$1001,customers!C161:C1161,,0))</f>
        <v>fcusick8w@hatena.ne.jp</v>
      </c>
      <c r="H162" s="2" t="str">
        <f>_xlfn.XLOOKUP(orders!C162,customers!$A$1:$A$1001,customers!$G$1:$G$1001,,0)</f>
        <v>United States</v>
      </c>
      <c r="I162" t="str">
        <f>INDEX(products!$A$1:$G$49,MATCH(orders!$D162, products!$A$1:$A$49,0), MATCH(orders!I$1,products!$A$1:$G$1,0))</f>
        <v>Exc</v>
      </c>
      <c r="J162" t="str">
        <f>INDEX(products!$A$1:$G$49,MATCH(orders!$D162, products!$A$1:$A$49,0), MATCH(orders!J$1,products!$A$1:$G$1,0))</f>
        <v>M</v>
      </c>
      <c r="K162" s="4">
        <f>INDEX(products!$A$1:$G$49,MATCH(orders!$D162, products!$A$1:$A$49,0), MATCH(orders!K$1,products!$A$1:$G$1,0))</f>
        <v>0.5</v>
      </c>
      <c r="L162" s="5">
        <f>INDEX(products!$A$1:$G$49,MATCH(orders!$D162, products!$A$1:$A$49,0), MATCH(orders!L$1,products!$A$1:$G$1,0))</f>
        <v>8.25</v>
      </c>
      <c r="M162" s="5">
        <f t="shared" si="6"/>
        <v>33</v>
      </c>
      <c r="N162" t="str">
        <f t="shared" si="7"/>
        <v>Excelsa</v>
      </c>
      <c r="O162" t="str">
        <f t="shared" si="8"/>
        <v>Medium</v>
      </c>
      <c r="P162" t="str">
        <f>_xlfn.XLOOKUP(Table1[[#This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IF(_xlfn.XLOOKUP(C163,customers!$A$1:$A$1001,customers!C162:C1162,,0)=0,"",_xlfn.XLOOKUP(C163,customers!$A$1:$A$1001,customers!C162:C1162,,0))</f>
        <v>sjeyness8y@biglobe.ne.jp</v>
      </c>
      <c r="H163" s="2" t="str">
        <f>_xlfn.XLOOKUP(orders!C163,customers!$A$1:$A$1001,customers!$G$1:$G$1001,,0)</f>
        <v>United States</v>
      </c>
      <c r="I163" t="str">
        <f>INDEX(products!$A$1:$G$49,MATCH(orders!$D163, products!$A$1:$A$49,0), MATCH(orders!I$1,products!$A$1:$G$1,0))</f>
        <v>Ara</v>
      </c>
      <c r="J163" t="str">
        <f>INDEX(products!$A$1:$G$49,MATCH(orders!$D163, products!$A$1:$A$49,0), MATCH(orders!J$1,products!$A$1:$G$1,0))</f>
        <v>L</v>
      </c>
      <c r="K163" s="4">
        <f>INDEX(products!$A$1:$G$49,MATCH(orders!$D163, products!$A$1:$A$49,0), MATCH(orders!K$1,products!$A$1:$G$1,0))</f>
        <v>0.5</v>
      </c>
      <c r="L163" s="5">
        <f>INDEX(products!$A$1:$G$49,MATCH(orders!$D163, products!$A$1:$A$49,0), MATCH(orders!L$1,products!$A$1:$G$1,0))</f>
        <v>7.77</v>
      </c>
      <c r="M163" s="5">
        <f t="shared" si="6"/>
        <v>23.31</v>
      </c>
      <c r="N163" t="str">
        <f t="shared" si="7"/>
        <v>Arabica</v>
      </c>
      <c r="O163" t="str">
        <f t="shared" si="8"/>
        <v>Light</v>
      </c>
      <c r="P163" t="str">
        <f>_xlfn.XLOOKUP(Table1[[#This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IF(_xlfn.XLOOKUP(C164,customers!$A$1:$A$1001,customers!C163:C1163,,0)=0,"",_xlfn.XLOOKUP(C164,customers!$A$1:$A$1001,customers!C163:C1163,,0))</f>
        <v/>
      </c>
      <c r="H164" s="2" t="str">
        <f>_xlfn.XLOOKUP(orders!C164,customers!$A$1:$A$1001,customers!$G$1:$G$1001,,0)</f>
        <v>United States</v>
      </c>
      <c r="I164" t="str">
        <f>INDEX(products!$A$1:$G$49,MATCH(orders!$D164, products!$A$1:$A$49,0), MATCH(orders!I$1,products!$A$1:$G$1,0))</f>
        <v>Exc</v>
      </c>
      <c r="J164" t="str">
        <f>INDEX(products!$A$1:$G$49,MATCH(orders!$D164, products!$A$1:$A$49,0), MATCH(orders!J$1,products!$A$1:$G$1,0))</f>
        <v>D</v>
      </c>
      <c r="K164" s="4">
        <f>INDEX(products!$A$1:$G$49,MATCH(orders!$D164, products!$A$1:$A$49,0), MATCH(orders!K$1,products!$A$1:$G$1,0))</f>
        <v>0.5</v>
      </c>
      <c r="L164" s="5">
        <f>INDEX(products!$A$1:$G$49,MATCH(orders!$D164, products!$A$1:$A$49,0), MATCH(orders!L$1,products!$A$1:$G$1,0))</f>
        <v>7.29</v>
      </c>
      <c r="M164" s="5">
        <f t="shared" si="6"/>
        <v>21.87</v>
      </c>
      <c r="N164" t="str">
        <f t="shared" si="7"/>
        <v>Excelsa</v>
      </c>
      <c r="O164" t="str">
        <f t="shared" si="8"/>
        <v>Dark</v>
      </c>
      <c r="P164" t="str">
        <f>_xlfn.XLOOKUP(Table1[[#This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IF(_xlfn.XLOOKUP(C165,customers!$A$1:$A$1001,customers!C164:C1164,,0)=0,"",_xlfn.XLOOKUP(C165,customers!$A$1:$A$1001,customers!C164:C1164,,0))</f>
        <v/>
      </c>
      <c r="H165" s="2" t="str">
        <f>_xlfn.XLOOKUP(orders!C165,customers!$A$1:$A$1001,customers!$G$1:$G$1001,,0)</f>
        <v>United States</v>
      </c>
      <c r="I165" t="str">
        <f>INDEX(products!$A$1:$G$49,MATCH(orders!$D165, products!$A$1:$A$49,0), MATCH(orders!I$1,products!$A$1:$G$1,0))</f>
        <v>Rob</v>
      </c>
      <c r="J165" t="str">
        <f>INDEX(products!$A$1:$G$49,MATCH(orders!$D165, products!$A$1:$A$49,0), MATCH(orders!J$1,products!$A$1:$G$1,0))</f>
        <v>D</v>
      </c>
      <c r="K165" s="4">
        <f>INDEX(products!$A$1:$G$49,MATCH(orders!$D165, products!$A$1:$A$49,0), MATCH(orders!K$1,products!$A$1:$G$1,0))</f>
        <v>0.2</v>
      </c>
      <c r="L165" s="5">
        <f>INDEX(products!$A$1:$G$49,MATCH(orders!$D165, products!$A$1:$A$49,0), MATCH(orders!L$1,products!$A$1:$G$1,0))</f>
        <v>2.6849999999999996</v>
      </c>
      <c r="M165" s="5">
        <f t="shared" si="6"/>
        <v>16.11</v>
      </c>
      <c r="N165" t="str">
        <f t="shared" si="7"/>
        <v>Robusta</v>
      </c>
      <c r="O165" t="str">
        <f t="shared" si="8"/>
        <v>Dark</v>
      </c>
      <c r="P165" t="str">
        <f>_xlfn.XLOOKUP(Table1[[#This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IF(_xlfn.XLOOKUP(C166,customers!$A$1:$A$1001,customers!C165:C1165,,0)=0,"",_xlfn.XLOOKUP(C166,customers!$A$1:$A$1001,customers!C165:C1165,,0))</f>
        <v/>
      </c>
      <c r="H166" s="2" t="str">
        <f>_xlfn.XLOOKUP(orders!C166,customers!$A$1:$A$1001,customers!$G$1:$G$1001,,0)</f>
        <v>Ireland</v>
      </c>
      <c r="I166" t="str">
        <f>INDEX(products!$A$1:$G$49,MATCH(orders!$D166, products!$A$1:$A$49,0), MATCH(orders!I$1,products!$A$1:$G$1,0))</f>
        <v>Exc</v>
      </c>
      <c r="J166" t="str">
        <f>INDEX(products!$A$1:$G$49,MATCH(orders!$D166, products!$A$1:$A$49,0), MATCH(orders!J$1,products!$A$1:$G$1,0))</f>
        <v>D</v>
      </c>
      <c r="K166" s="4">
        <f>INDEX(products!$A$1:$G$49,MATCH(orders!$D166, products!$A$1:$A$49,0), MATCH(orders!K$1,products!$A$1:$G$1,0))</f>
        <v>0.5</v>
      </c>
      <c r="L166" s="5">
        <f>INDEX(products!$A$1:$G$49,MATCH(orders!$D166, products!$A$1:$A$49,0), MATCH(orders!L$1,products!$A$1:$G$1,0))</f>
        <v>7.29</v>
      </c>
      <c r="M166" s="5">
        <f t="shared" si="6"/>
        <v>29.16</v>
      </c>
      <c r="N166" t="str">
        <f t="shared" si="7"/>
        <v>Excelsa</v>
      </c>
      <c r="O166" t="str">
        <f t="shared" si="8"/>
        <v>Dark</v>
      </c>
      <c r="P166" t="str">
        <f>_xlfn.XLOOKUP(Table1[[#This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IF(_xlfn.XLOOKUP(C167,customers!$A$1:$A$1001,customers!C166:C1166,,0)=0,"",_xlfn.XLOOKUP(C167,customers!$A$1:$A$1001,customers!C166:C1166,,0))</f>
        <v>fdrogan96@gnu.org</v>
      </c>
      <c r="H167" s="2" t="str">
        <f>_xlfn.XLOOKUP(orders!C167,customers!$A$1:$A$1001,customers!$G$1:$G$1001,,0)</f>
        <v>United States</v>
      </c>
      <c r="I167" t="str">
        <f>INDEX(products!$A$1:$G$49,MATCH(orders!$D167, products!$A$1:$A$49,0), MATCH(orders!I$1,products!$A$1:$G$1,0))</f>
        <v>Rob</v>
      </c>
      <c r="J167" t="str">
        <f>INDEX(products!$A$1:$G$49,MATCH(orders!$D167, products!$A$1:$A$49,0), MATCH(orders!J$1,products!$A$1:$G$1,0))</f>
        <v>D</v>
      </c>
      <c r="K167" s="4">
        <f>INDEX(products!$A$1:$G$49,MATCH(orders!$D167, products!$A$1:$A$49,0), MATCH(orders!K$1,products!$A$1:$G$1,0))</f>
        <v>1</v>
      </c>
      <c r="L167" s="5">
        <f>INDEX(products!$A$1:$G$49,MATCH(orders!$D167, products!$A$1:$A$49,0), MATCH(orders!L$1,products!$A$1:$G$1,0))</f>
        <v>8.9499999999999993</v>
      </c>
      <c r="M167" s="5">
        <f t="shared" si="6"/>
        <v>53.699999999999996</v>
      </c>
      <c r="N167" t="str">
        <f t="shared" si="7"/>
        <v>Robusta</v>
      </c>
      <c r="O167" t="str">
        <f t="shared" si="8"/>
        <v>Dark</v>
      </c>
      <c r="P167" t="str">
        <f>_xlfn.XLOOKUP(Table1[[#This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IF(_xlfn.XLOOKUP(C168,customers!$A$1:$A$1001,customers!C167:C1167,,0)=0,"",_xlfn.XLOOKUP(C168,customers!$A$1:$A$1001,customers!C167:C1167,,0))</f>
        <v>qparsons98@blogtalkradio.com</v>
      </c>
      <c r="H168" s="2" t="str">
        <f>_xlfn.XLOOKUP(orders!C168,customers!$A$1:$A$1001,customers!$G$1:$G$1001,,0)</f>
        <v>United States</v>
      </c>
      <c r="I168" t="str">
        <f>INDEX(products!$A$1:$G$49,MATCH(orders!$D168, products!$A$1:$A$49,0), MATCH(orders!I$1,products!$A$1:$G$1,0))</f>
        <v>Rob</v>
      </c>
      <c r="J168" t="str">
        <f>INDEX(products!$A$1:$G$49,MATCH(orders!$D168, products!$A$1:$A$49,0), MATCH(orders!J$1,products!$A$1:$G$1,0))</f>
        <v>D</v>
      </c>
      <c r="K168" s="4">
        <f>INDEX(products!$A$1:$G$49,MATCH(orders!$D168, products!$A$1:$A$49,0), MATCH(orders!K$1,products!$A$1:$G$1,0))</f>
        <v>0.5</v>
      </c>
      <c r="L168" s="5">
        <f>INDEX(products!$A$1:$G$49,MATCH(orders!$D168, products!$A$1:$A$49,0), MATCH(orders!L$1,products!$A$1:$G$1,0))</f>
        <v>5.3699999999999992</v>
      </c>
      <c r="M168" s="5">
        <f t="shared" si="6"/>
        <v>26.849999999999994</v>
      </c>
      <c r="N168" t="str">
        <f t="shared" si="7"/>
        <v>Robusta</v>
      </c>
      <c r="O168" t="str">
        <f t="shared" si="8"/>
        <v>Dark</v>
      </c>
      <c r="P168" t="str">
        <f>_xlfn.XLOOKUP(Table1[[#This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IF(_xlfn.XLOOKUP(C169,customers!$A$1:$A$1001,customers!C168:C1168,,0)=0,"",_xlfn.XLOOKUP(C169,customers!$A$1:$A$1001,customers!C168:C1168,,0))</f>
        <v/>
      </c>
      <c r="H169" s="2" t="str">
        <f>_xlfn.XLOOKUP(orders!C169,customers!$A$1:$A$1001,customers!$G$1:$G$1001,,0)</f>
        <v>United States</v>
      </c>
      <c r="I169" t="str">
        <f>INDEX(products!$A$1:$G$49,MATCH(orders!$D169, products!$A$1:$A$49,0), MATCH(orders!I$1,products!$A$1:$G$1,0))</f>
        <v>Exc</v>
      </c>
      <c r="J169" t="str">
        <f>INDEX(products!$A$1:$G$49,MATCH(orders!$D169, products!$A$1:$A$49,0), MATCH(orders!J$1,products!$A$1:$G$1,0))</f>
        <v>M</v>
      </c>
      <c r="K169" s="4">
        <f>INDEX(products!$A$1:$G$49,MATCH(orders!$D169, products!$A$1:$A$49,0), MATCH(orders!K$1,products!$A$1:$G$1,0))</f>
        <v>0.5</v>
      </c>
      <c r="L169" s="5">
        <f>INDEX(products!$A$1:$G$49,MATCH(orders!$D169, products!$A$1:$A$49,0), MATCH(orders!L$1,products!$A$1:$G$1,0))</f>
        <v>8.25</v>
      </c>
      <c r="M169" s="5">
        <f t="shared" si="6"/>
        <v>41.25</v>
      </c>
      <c r="N169" t="str">
        <f t="shared" si="7"/>
        <v>Excelsa</v>
      </c>
      <c r="O169" t="str">
        <f t="shared" si="8"/>
        <v>Medium</v>
      </c>
      <c r="P169" t="str">
        <f>_xlfn.XLOOKUP(Table1[[#This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IF(_xlfn.XLOOKUP(C170,customers!$A$1:$A$1001,customers!C169:C1169,,0)=0,"",_xlfn.XLOOKUP(C170,customers!$A$1:$A$1001,customers!C169:C1169,,0))</f>
        <v>tomoylan9c@liveinternet.ru</v>
      </c>
      <c r="H170" s="2" t="str">
        <f>_xlfn.XLOOKUP(orders!C170,customers!$A$1:$A$1001,customers!$G$1:$G$1001,,0)</f>
        <v>Ireland</v>
      </c>
      <c r="I170" t="str">
        <f>INDEX(products!$A$1:$G$49,MATCH(orders!$D170, products!$A$1:$A$49,0), MATCH(orders!I$1,products!$A$1:$G$1,0))</f>
        <v>Ara</v>
      </c>
      <c r="J170" t="str">
        <f>INDEX(products!$A$1:$G$49,MATCH(orders!$D170, products!$A$1:$A$49,0), MATCH(orders!J$1,products!$A$1:$G$1,0))</f>
        <v>M</v>
      </c>
      <c r="K170" s="4">
        <f>INDEX(products!$A$1:$G$49,MATCH(orders!$D170, products!$A$1:$A$49,0), MATCH(orders!K$1,products!$A$1:$G$1,0))</f>
        <v>0.5</v>
      </c>
      <c r="L170" s="5">
        <f>INDEX(products!$A$1:$G$49,MATCH(orders!$D170, products!$A$1:$A$49,0), MATCH(orders!L$1,products!$A$1:$G$1,0))</f>
        <v>6.75</v>
      </c>
      <c r="M170" s="5">
        <f t="shared" si="6"/>
        <v>40.5</v>
      </c>
      <c r="N170" t="str">
        <f t="shared" si="7"/>
        <v>Arabica</v>
      </c>
      <c r="O170" t="str">
        <f t="shared" si="8"/>
        <v>Medium</v>
      </c>
      <c r="P170" t="str">
        <f>_xlfn.XLOOKUP(Table1[[#This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IF(_xlfn.XLOOKUP(C171,customers!$A$1:$A$1001,customers!C170:C1170,,0)=0,"",_xlfn.XLOOKUP(C171,customers!$A$1:$A$1001,customers!C170:C1170,,0))</f>
        <v>wfetherston9e@constantcontact.com</v>
      </c>
      <c r="H171" s="2" t="str">
        <f>_xlfn.XLOOKUP(orders!C171,customers!$A$1:$A$1001,customers!$G$1:$G$1001,,0)</f>
        <v>Ireland</v>
      </c>
      <c r="I171" t="str">
        <f>INDEX(products!$A$1:$G$49,MATCH(orders!$D171, products!$A$1:$A$49,0), MATCH(orders!I$1,products!$A$1:$G$1,0))</f>
        <v>Rob</v>
      </c>
      <c r="J171" t="str">
        <f>INDEX(products!$A$1:$G$49,MATCH(orders!$D171, products!$A$1:$A$49,0), MATCH(orders!J$1,products!$A$1:$G$1,0))</f>
        <v>D</v>
      </c>
      <c r="K171" s="4">
        <f>INDEX(products!$A$1:$G$49,MATCH(orders!$D171, products!$A$1:$A$49,0), MATCH(orders!K$1,products!$A$1:$G$1,0))</f>
        <v>1</v>
      </c>
      <c r="L171" s="5">
        <f>INDEX(products!$A$1:$G$49,MATCH(orders!$D171, products!$A$1:$A$49,0), MATCH(orders!L$1,products!$A$1:$G$1,0))</f>
        <v>8.9499999999999993</v>
      </c>
      <c r="M171" s="5">
        <f t="shared" si="6"/>
        <v>17.899999999999999</v>
      </c>
      <c r="N171" t="str">
        <f t="shared" si="7"/>
        <v>Robusta</v>
      </c>
      <c r="O171" t="str">
        <f t="shared" si="8"/>
        <v>Dark</v>
      </c>
      <c r="P171" t="str">
        <f>_xlfn.XLOOKUP(Table1[[#This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IF(_xlfn.XLOOKUP(C172,customers!$A$1:$A$1001,customers!C171:C1171,,0)=0,"",_xlfn.XLOOKUP(C172,customers!$A$1:$A$1001,customers!C171:C1171,,0))</f>
        <v>wgiorgioni9g@wikipedia.org</v>
      </c>
      <c r="H172" s="2" t="str">
        <f>_xlfn.XLOOKUP(orders!C172,customers!$A$1:$A$1001,customers!$G$1:$G$1001,,0)</f>
        <v>United Kingdom</v>
      </c>
      <c r="I172" t="str">
        <f>INDEX(products!$A$1:$G$49,MATCH(orders!$D172, products!$A$1:$A$49,0), MATCH(orders!I$1,products!$A$1:$G$1,0))</f>
        <v>Exc</v>
      </c>
      <c r="J172" t="str">
        <f>INDEX(products!$A$1:$G$49,MATCH(orders!$D172, products!$A$1:$A$49,0), MATCH(orders!J$1,products!$A$1:$G$1,0))</f>
        <v>L</v>
      </c>
      <c r="K172" s="4">
        <f>INDEX(products!$A$1:$G$49,MATCH(orders!$D172, products!$A$1:$A$49,0), MATCH(orders!K$1,products!$A$1:$G$1,0))</f>
        <v>2.5</v>
      </c>
      <c r="L172" s="5">
        <f>INDEX(products!$A$1:$G$49,MATCH(orders!$D172, products!$A$1:$A$49,0), MATCH(orders!L$1,products!$A$1:$G$1,0))</f>
        <v>34.154999999999994</v>
      </c>
      <c r="M172" s="5">
        <f t="shared" si="6"/>
        <v>68.309999999999988</v>
      </c>
      <c r="N172" t="str">
        <f t="shared" si="7"/>
        <v>Excelsa</v>
      </c>
      <c r="O172" t="str">
        <f t="shared" si="8"/>
        <v>Light</v>
      </c>
      <c r="P172" t="str">
        <f>_xlfn.XLOOKUP(Table1[[#This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IF(_xlfn.XLOOKUP(C173,customers!$A$1:$A$1001,customers!C172:C1172,,0)=0,"",_xlfn.XLOOKUP(C173,customers!$A$1:$A$1001,customers!C172:C1172,,0))</f>
        <v>cfranseco9i@phoca.cz</v>
      </c>
      <c r="H173" s="2" t="str">
        <f>_xlfn.XLOOKUP(orders!C173,customers!$A$1:$A$1001,customers!$G$1:$G$1001,,0)</f>
        <v>United States</v>
      </c>
      <c r="I173" t="str">
        <f>INDEX(products!$A$1:$G$49,MATCH(orders!$D173, products!$A$1:$A$49,0), MATCH(orders!I$1,products!$A$1:$G$1,0))</f>
        <v>Exc</v>
      </c>
      <c r="J173" t="str">
        <f>INDEX(products!$A$1:$G$49,MATCH(orders!$D173, products!$A$1:$A$49,0), MATCH(orders!J$1,products!$A$1:$G$1,0))</f>
        <v>M</v>
      </c>
      <c r="K173" s="4">
        <f>INDEX(products!$A$1:$G$49,MATCH(orders!$D173, products!$A$1:$A$49,0), MATCH(orders!K$1,products!$A$1:$G$1,0))</f>
        <v>2.5</v>
      </c>
      <c r="L173" s="5">
        <f>INDEX(products!$A$1:$G$49,MATCH(orders!$D173, products!$A$1:$A$49,0), MATCH(orders!L$1,products!$A$1:$G$1,0))</f>
        <v>31.624999999999996</v>
      </c>
      <c r="M173" s="5">
        <f t="shared" si="6"/>
        <v>63.249999999999993</v>
      </c>
      <c r="N173" t="str">
        <f t="shared" si="7"/>
        <v>Excelsa</v>
      </c>
      <c r="O173" t="str">
        <f t="shared" si="8"/>
        <v>Medium</v>
      </c>
      <c r="P173" t="str">
        <f>_xlfn.XLOOKUP(Table1[[#This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IF(_xlfn.XLOOKUP(C174,customers!$A$1:$A$1001,customers!C173:C1173,,0)=0,"",_xlfn.XLOOKUP(C174,customers!$A$1:$A$1001,customers!C173:C1173,,0))</f>
        <v/>
      </c>
      <c r="H174" s="2" t="str">
        <f>_xlfn.XLOOKUP(orders!C174,customers!$A$1:$A$1001,customers!$G$1:$G$1001,,0)</f>
        <v>Ireland</v>
      </c>
      <c r="I174" t="str">
        <f>INDEX(products!$A$1:$G$49,MATCH(orders!$D174, products!$A$1:$A$49,0), MATCH(orders!I$1,products!$A$1:$G$1,0))</f>
        <v>Exc</v>
      </c>
      <c r="J174" t="str">
        <f>INDEX(products!$A$1:$G$49,MATCH(orders!$D174, products!$A$1:$A$49,0), MATCH(orders!J$1,products!$A$1:$G$1,0))</f>
        <v>D</v>
      </c>
      <c r="K174" s="4">
        <f>INDEX(products!$A$1:$G$49,MATCH(orders!$D174, products!$A$1:$A$49,0), MATCH(orders!K$1,products!$A$1:$G$1,0))</f>
        <v>0.5</v>
      </c>
      <c r="L174" s="5">
        <f>INDEX(products!$A$1:$G$49,MATCH(orders!$D174, products!$A$1:$A$49,0), MATCH(orders!L$1,products!$A$1:$G$1,0))</f>
        <v>7.29</v>
      </c>
      <c r="M174" s="5">
        <f t="shared" si="6"/>
        <v>21.87</v>
      </c>
      <c r="N174" t="str">
        <f t="shared" si="7"/>
        <v>Excelsa</v>
      </c>
      <c r="O174" t="str">
        <f t="shared" si="8"/>
        <v>Dark</v>
      </c>
      <c r="P174" t="str">
        <f>_xlfn.XLOOKUP(Table1[[#This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IF(_xlfn.XLOOKUP(C175,customers!$A$1:$A$1001,customers!C174:C1174,,0)=0,"",_xlfn.XLOOKUP(C175,customers!$A$1:$A$1001,customers!C174:C1174,,0))</f>
        <v>rworg9m@arstechnica.com</v>
      </c>
      <c r="H175" s="2" t="str">
        <f>_xlfn.XLOOKUP(orders!C175,customers!$A$1:$A$1001,customers!$G$1:$G$1001,,0)</f>
        <v>United States</v>
      </c>
      <c r="I175" t="str">
        <f>INDEX(products!$A$1:$G$49,MATCH(orders!$D175, products!$A$1:$A$49,0), MATCH(orders!I$1,products!$A$1:$G$1,0))</f>
        <v>Rob</v>
      </c>
      <c r="J175" t="str">
        <f>INDEX(products!$A$1:$G$49,MATCH(orders!$D175, products!$A$1:$A$49,0), MATCH(orders!J$1,products!$A$1:$G$1,0))</f>
        <v>M</v>
      </c>
      <c r="K175" s="4">
        <f>INDEX(products!$A$1:$G$49,MATCH(orders!$D175, products!$A$1:$A$49,0), MATCH(orders!K$1,products!$A$1:$G$1,0))</f>
        <v>2.5</v>
      </c>
      <c r="L175" s="5">
        <f>INDEX(products!$A$1:$G$49,MATCH(orders!$D175, products!$A$1:$A$49,0), MATCH(orders!L$1,products!$A$1:$G$1,0))</f>
        <v>22.884999999999998</v>
      </c>
      <c r="M175" s="5">
        <f t="shared" si="6"/>
        <v>91.539999999999992</v>
      </c>
      <c r="N175" t="str">
        <f t="shared" si="7"/>
        <v>Robusta</v>
      </c>
      <c r="O175" t="str">
        <f t="shared" si="8"/>
        <v>Medium</v>
      </c>
      <c r="P175" t="str">
        <f>_xlfn.XLOOKUP(Table1[[#This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IF(_xlfn.XLOOKUP(C176,customers!$A$1:$A$1001,customers!C175:C1175,,0)=0,"",_xlfn.XLOOKUP(C176,customers!$A$1:$A$1001,customers!C175:C1175,,0))</f>
        <v>skeynd9o@narod.ru</v>
      </c>
      <c r="H176" s="2" t="str">
        <f>_xlfn.XLOOKUP(orders!C176,customers!$A$1:$A$1001,customers!$G$1:$G$1001,,0)</f>
        <v>United States</v>
      </c>
      <c r="I176" t="str">
        <f>INDEX(products!$A$1:$G$49,MATCH(orders!$D176, products!$A$1:$A$49,0), MATCH(orders!I$1,products!$A$1:$G$1,0))</f>
        <v>Exc</v>
      </c>
      <c r="J176" t="str">
        <f>INDEX(products!$A$1:$G$49,MATCH(orders!$D176, products!$A$1:$A$49,0), MATCH(orders!J$1,products!$A$1:$G$1,0))</f>
        <v>L</v>
      </c>
      <c r="K176" s="4">
        <f>INDEX(products!$A$1:$G$49,MATCH(orders!$D176, products!$A$1:$A$49,0), MATCH(orders!K$1,products!$A$1:$G$1,0))</f>
        <v>2.5</v>
      </c>
      <c r="L176" s="5">
        <f>INDEX(products!$A$1:$G$49,MATCH(orders!$D176, products!$A$1:$A$49,0), MATCH(orders!L$1,products!$A$1:$G$1,0))</f>
        <v>34.154999999999994</v>
      </c>
      <c r="M176" s="5">
        <f t="shared" si="6"/>
        <v>204.92999999999995</v>
      </c>
      <c r="N176" t="str">
        <f t="shared" si="7"/>
        <v>Excelsa</v>
      </c>
      <c r="O176" t="str">
        <f t="shared" si="8"/>
        <v>Light</v>
      </c>
      <c r="P176" t="str">
        <f>_xlfn.XLOOKUP(Table1[[#This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IF(_xlfn.XLOOKUP(C177,customers!$A$1:$A$1001,customers!C176:C1176,,0)=0,"",_xlfn.XLOOKUP(C177,customers!$A$1:$A$1001,customers!C176:C1176,,0))</f>
        <v>jawdry9q@utexas.edu</v>
      </c>
      <c r="H177" s="2" t="str">
        <f>_xlfn.XLOOKUP(orders!C177,customers!$A$1:$A$1001,customers!$G$1:$G$1001,,0)</f>
        <v>United States</v>
      </c>
      <c r="I177" t="str">
        <f>INDEX(products!$A$1:$G$49,MATCH(orders!$D177, products!$A$1:$A$49,0), MATCH(orders!I$1,products!$A$1:$G$1,0))</f>
        <v>Exc</v>
      </c>
      <c r="J177" t="str">
        <f>INDEX(products!$A$1:$G$49,MATCH(orders!$D177, products!$A$1:$A$49,0), MATCH(orders!J$1,products!$A$1:$G$1,0))</f>
        <v>M</v>
      </c>
      <c r="K177" s="4">
        <f>INDEX(products!$A$1:$G$49,MATCH(orders!$D177, products!$A$1:$A$49,0), MATCH(orders!K$1,products!$A$1:$G$1,0))</f>
        <v>2.5</v>
      </c>
      <c r="L177" s="5">
        <f>INDEX(products!$A$1:$G$49,MATCH(orders!$D177, products!$A$1:$A$49,0), MATCH(orders!L$1,products!$A$1:$G$1,0))</f>
        <v>31.624999999999996</v>
      </c>
      <c r="M177" s="5">
        <f t="shared" si="6"/>
        <v>63.249999999999993</v>
      </c>
      <c r="N177" t="str">
        <f t="shared" si="7"/>
        <v>Excelsa</v>
      </c>
      <c r="O177" t="str">
        <f t="shared" si="8"/>
        <v>Medium</v>
      </c>
      <c r="P177" t="str">
        <f>_xlfn.XLOOKUP(Table1[[#This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IF(_xlfn.XLOOKUP(C178,customers!$A$1:$A$1001,customers!C177:C1177,,0)=0,"",_xlfn.XLOOKUP(C178,customers!$A$1:$A$1001,customers!C177:C1177,,0))</f>
        <v>sbaulcombe9s@dropbox.com</v>
      </c>
      <c r="H178" s="2" t="str">
        <f>_xlfn.XLOOKUP(orders!C178,customers!$A$1:$A$1001,customers!$G$1:$G$1001,,0)</f>
        <v>United States</v>
      </c>
      <c r="I178" t="str">
        <f>INDEX(products!$A$1:$G$49,MATCH(orders!$D178, products!$A$1:$A$49,0), MATCH(orders!I$1,products!$A$1:$G$1,0))</f>
        <v>Exc</v>
      </c>
      <c r="J178" t="str">
        <f>INDEX(products!$A$1:$G$49,MATCH(orders!$D178, products!$A$1:$A$49,0), MATCH(orders!J$1,products!$A$1:$G$1,0))</f>
        <v>L</v>
      </c>
      <c r="K178" s="4">
        <f>INDEX(products!$A$1:$G$49,MATCH(orders!$D178, products!$A$1:$A$49,0), MATCH(orders!K$1,products!$A$1:$G$1,0))</f>
        <v>2.5</v>
      </c>
      <c r="L178" s="5">
        <f>INDEX(products!$A$1:$G$49,MATCH(orders!$D178, products!$A$1:$A$49,0), MATCH(orders!L$1,products!$A$1:$G$1,0))</f>
        <v>34.154999999999994</v>
      </c>
      <c r="M178" s="5">
        <f t="shared" si="6"/>
        <v>34.154999999999994</v>
      </c>
      <c r="N178" t="str">
        <f t="shared" si="7"/>
        <v>Excelsa</v>
      </c>
      <c r="O178" t="str">
        <f t="shared" si="8"/>
        <v>Light</v>
      </c>
      <c r="P178" t="str">
        <f>_xlfn.XLOOKUP(Table1[[#This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IF(_xlfn.XLOOKUP(C179,customers!$A$1:$A$1001,customers!C178:C1178,,0)=0,"",_xlfn.XLOOKUP(C179,customers!$A$1:$A$1001,customers!C178:C1178,,0))</f>
        <v>jcaldicott9u@usda.gov</v>
      </c>
      <c r="H179" s="2" t="str">
        <f>_xlfn.XLOOKUP(orders!C179,customers!$A$1:$A$1001,customers!$G$1:$G$1001,,0)</f>
        <v>United States</v>
      </c>
      <c r="I179" t="str">
        <f>INDEX(products!$A$1:$G$49,MATCH(orders!$D179, products!$A$1:$A$49,0), MATCH(orders!I$1,products!$A$1:$G$1,0))</f>
        <v>Rob</v>
      </c>
      <c r="J179" t="str">
        <f>INDEX(products!$A$1:$G$49,MATCH(orders!$D179, products!$A$1:$A$49,0), MATCH(orders!J$1,products!$A$1:$G$1,0))</f>
        <v>L</v>
      </c>
      <c r="K179" s="4">
        <f>INDEX(products!$A$1:$G$49,MATCH(orders!$D179, products!$A$1:$A$49,0), MATCH(orders!K$1,products!$A$1:$G$1,0))</f>
        <v>2.5</v>
      </c>
      <c r="L179" s="5">
        <f>INDEX(products!$A$1:$G$49,MATCH(orders!$D179, products!$A$1:$A$49,0), MATCH(orders!L$1,products!$A$1:$G$1,0))</f>
        <v>27.484999999999996</v>
      </c>
      <c r="M179" s="5">
        <f t="shared" si="6"/>
        <v>109.93999999999998</v>
      </c>
      <c r="N179" t="str">
        <f t="shared" si="7"/>
        <v>Robusta</v>
      </c>
      <c r="O179" t="str">
        <f t="shared" si="8"/>
        <v>Light</v>
      </c>
      <c r="P179" t="str">
        <f>_xlfn.XLOOKUP(Table1[[#This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IF(_xlfn.XLOOKUP(C180,customers!$A$1:$A$1001,customers!C179:C1179,,0)=0,"",_xlfn.XLOOKUP(C180,customers!$A$1:$A$1001,customers!C179:C1179,,0))</f>
        <v>wromao9w@chronoengine.com</v>
      </c>
      <c r="H180" s="2" t="str">
        <f>_xlfn.XLOOKUP(orders!C180,customers!$A$1:$A$1001,customers!$G$1:$G$1001,,0)</f>
        <v>United States</v>
      </c>
      <c r="I180" t="str">
        <f>INDEX(products!$A$1:$G$49,MATCH(orders!$D180, products!$A$1:$A$49,0), MATCH(orders!I$1,products!$A$1:$G$1,0))</f>
        <v>Ara</v>
      </c>
      <c r="J180" t="str">
        <f>INDEX(products!$A$1:$G$49,MATCH(orders!$D180, products!$A$1:$A$49,0), MATCH(orders!J$1,products!$A$1:$G$1,0))</f>
        <v>L</v>
      </c>
      <c r="K180" s="4">
        <f>INDEX(products!$A$1:$G$49,MATCH(orders!$D180, products!$A$1:$A$49,0), MATCH(orders!K$1,products!$A$1:$G$1,0))</f>
        <v>1</v>
      </c>
      <c r="L180" s="5">
        <f>INDEX(products!$A$1:$G$49,MATCH(orders!$D180, products!$A$1:$A$49,0), MATCH(orders!L$1,products!$A$1:$G$1,0))</f>
        <v>12.95</v>
      </c>
      <c r="M180" s="5">
        <f t="shared" si="6"/>
        <v>25.9</v>
      </c>
      <c r="N180" t="str">
        <f t="shared" si="7"/>
        <v>Arabica</v>
      </c>
      <c r="O180" t="str">
        <f t="shared" si="8"/>
        <v>Light</v>
      </c>
      <c r="P180" t="str">
        <f>_xlfn.XLOOKUP(Table1[[#This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IF(_xlfn.XLOOKUP(C181,customers!$A$1:$A$1001,customers!C180:C1180,,0)=0,"",_xlfn.XLOOKUP(C181,customers!$A$1:$A$1001,customers!C180:C1180,,0))</f>
        <v>tcotmore9y@amazonaws.com</v>
      </c>
      <c r="H181" s="2" t="str">
        <f>_xlfn.XLOOKUP(orders!C181,customers!$A$1:$A$1001,customers!$G$1:$G$1001,,0)</f>
        <v>Ireland</v>
      </c>
      <c r="I181" t="str">
        <f>INDEX(products!$A$1:$G$49,MATCH(orders!$D181, products!$A$1:$A$49,0), MATCH(orders!I$1,products!$A$1:$G$1,0))</f>
        <v>Ara</v>
      </c>
      <c r="J181" t="str">
        <f>INDEX(products!$A$1:$G$49,MATCH(orders!$D181, products!$A$1:$A$49,0), MATCH(orders!J$1,products!$A$1:$G$1,0))</f>
        <v>D</v>
      </c>
      <c r="K181" s="4">
        <f>INDEX(products!$A$1:$G$49,MATCH(orders!$D181, products!$A$1:$A$49,0), MATCH(orders!K$1,products!$A$1:$G$1,0))</f>
        <v>0.2</v>
      </c>
      <c r="L181" s="5">
        <f>INDEX(products!$A$1:$G$49,MATCH(orders!$D181, products!$A$1:$A$49,0), MATCH(orders!L$1,products!$A$1:$G$1,0))</f>
        <v>2.9849999999999999</v>
      </c>
      <c r="M181" s="5">
        <f t="shared" si="6"/>
        <v>2.9849999999999999</v>
      </c>
      <c r="N181" t="str">
        <f t="shared" si="7"/>
        <v>Arabica</v>
      </c>
      <c r="O181" t="str">
        <f t="shared" si="8"/>
        <v>Dark</v>
      </c>
      <c r="P181" t="str">
        <f>_xlfn.XLOOKUP(Table1[[#This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IF(_xlfn.XLOOKUP(C182,customers!$A$1:$A$1001,customers!C181:C1181,,0)=0,"",_xlfn.XLOOKUP(C182,customers!$A$1:$A$1001,customers!C181:C1181,,0))</f>
        <v>ncorpsa0@gmpg.org</v>
      </c>
      <c r="H182" s="2" t="str">
        <f>_xlfn.XLOOKUP(orders!C182,customers!$A$1:$A$1001,customers!$G$1:$G$1001,,0)</f>
        <v>United States</v>
      </c>
      <c r="I182" t="str">
        <f>INDEX(products!$A$1:$G$49,MATCH(orders!$D182, products!$A$1:$A$49,0), MATCH(orders!I$1,products!$A$1:$G$1,0))</f>
        <v>Exc</v>
      </c>
      <c r="J182" t="str">
        <f>INDEX(products!$A$1:$G$49,MATCH(orders!$D182, products!$A$1:$A$49,0), MATCH(orders!J$1,products!$A$1:$G$1,0))</f>
        <v>L</v>
      </c>
      <c r="K182" s="4">
        <f>INDEX(products!$A$1:$G$49,MATCH(orders!$D182, products!$A$1:$A$49,0), MATCH(orders!K$1,products!$A$1:$G$1,0))</f>
        <v>0.2</v>
      </c>
      <c r="L182" s="5">
        <f>INDEX(products!$A$1:$G$49,MATCH(orders!$D182, products!$A$1:$A$49,0), MATCH(orders!L$1,products!$A$1:$G$1,0))</f>
        <v>4.4550000000000001</v>
      </c>
      <c r="M182" s="5">
        <f t="shared" si="6"/>
        <v>22.274999999999999</v>
      </c>
      <c r="N182" t="str">
        <f t="shared" si="7"/>
        <v>Excelsa</v>
      </c>
      <c r="O182" t="str">
        <f t="shared" si="8"/>
        <v>Light</v>
      </c>
      <c r="P182" t="str">
        <f>_xlfn.XLOOKUP(Table1[[#This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IF(_xlfn.XLOOKUP(C183,customers!$A$1:$A$1001,customers!C182:C1182,,0)=0,"",_xlfn.XLOOKUP(C183,customers!$A$1:$A$1001,customers!C182:C1182,,0))</f>
        <v>cruburya1@geocities.jp</v>
      </c>
      <c r="H183" s="2" t="str">
        <f>_xlfn.XLOOKUP(orders!C183,customers!$A$1:$A$1001,customers!$G$1:$G$1001,,0)</f>
        <v>United States</v>
      </c>
      <c r="I183" t="str">
        <f>INDEX(products!$A$1:$G$49,MATCH(orders!$D183, products!$A$1:$A$49,0), MATCH(orders!I$1,products!$A$1:$G$1,0))</f>
        <v>Ara</v>
      </c>
      <c r="J183" t="str">
        <f>INDEX(products!$A$1:$G$49,MATCH(orders!$D183, products!$A$1:$A$49,0), MATCH(orders!J$1,products!$A$1:$G$1,0))</f>
        <v>D</v>
      </c>
      <c r="K183" s="4">
        <f>INDEX(products!$A$1:$G$49,MATCH(orders!$D183, products!$A$1:$A$49,0), MATCH(orders!K$1,products!$A$1:$G$1,0))</f>
        <v>0.5</v>
      </c>
      <c r="L183" s="5">
        <f>INDEX(products!$A$1:$G$49,MATCH(orders!$D183, products!$A$1:$A$49,0), MATCH(orders!L$1,products!$A$1:$G$1,0))</f>
        <v>5.97</v>
      </c>
      <c r="M183" s="5">
        <f t="shared" si="6"/>
        <v>29.849999999999998</v>
      </c>
      <c r="N183" t="str">
        <f t="shared" si="7"/>
        <v>Arabica</v>
      </c>
      <c r="O183" t="str">
        <f t="shared" si="8"/>
        <v>Dark</v>
      </c>
      <c r="P183" t="str">
        <f>_xlfn.XLOOKUP(Table1[[#This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IF(_xlfn.XLOOKUP(C184,customers!$A$1:$A$1001,customers!C183:C1183,,0)=0,"",_xlfn.XLOOKUP(C184,customers!$A$1:$A$1001,customers!C183:C1183,,0))</f>
        <v>ptoffula4@posterous.com</v>
      </c>
      <c r="H184" s="2" t="str">
        <f>_xlfn.XLOOKUP(orders!C184,customers!$A$1:$A$1001,customers!$G$1:$G$1001,,0)</f>
        <v>United States</v>
      </c>
      <c r="I184" t="str">
        <f>INDEX(products!$A$1:$G$49,MATCH(orders!$D184, products!$A$1:$A$49,0), MATCH(orders!I$1,products!$A$1:$G$1,0))</f>
        <v>Rob</v>
      </c>
      <c r="J184" t="str">
        <f>INDEX(products!$A$1:$G$49,MATCH(orders!$D184, products!$A$1:$A$49,0), MATCH(orders!J$1,products!$A$1:$G$1,0))</f>
        <v>D</v>
      </c>
      <c r="K184" s="4">
        <f>INDEX(products!$A$1:$G$49,MATCH(orders!$D184, products!$A$1:$A$49,0), MATCH(orders!K$1,products!$A$1:$G$1,0))</f>
        <v>0.5</v>
      </c>
      <c r="L184" s="5">
        <f>INDEX(products!$A$1:$G$49,MATCH(orders!$D184, products!$A$1:$A$49,0), MATCH(orders!L$1,products!$A$1:$G$1,0))</f>
        <v>5.3699999999999992</v>
      </c>
      <c r="M184" s="5">
        <f t="shared" si="6"/>
        <v>32.22</v>
      </c>
      <c r="N184" t="str">
        <f t="shared" si="7"/>
        <v>Robusta</v>
      </c>
      <c r="O184" t="str">
        <f t="shared" si="8"/>
        <v>Dark</v>
      </c>
      <c r="P184" t="str">
        <f>_xlfn.XLOOKUP(Table1[[#This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IF(_xlfn.XLOOKUP(C185,customers!$A$1:$A$1001,customers!C184:C1184,,0)=0,"",_xlfn.XLOOKUP(C185,customers!$A$1:$A$1001,customers!C184:C1184,,0))</f>
        <v/>
      </c>
      <c r="H185" s="2" t="str">
        <f>_xlfn.XLOOKUP(orders!C185,customers!$A$1:$A$1001,customers!$G$1:$G$1001,,0)</f>
        <v>United States</v>
      </c>
      <c r="I185" t="str">
        <f>INDEX(products!$A$1:$G$49,MATCH(orders!$D185, products!$A$1:$A$49,0), MATCH(orders!I$1,products!$A$1:$G$1,0))</f>
        <v>Exc</v>
      </c>
      <c r="J185" t="str">
        <f>INDEX(products!$A$1:$G$49,MATCH(orders!$D185, products!$A$1:$A$49,0), MATCH(orders!J$1,products!$A$1:$G$1,0))</f>
        <v>M</v>
      </c>
      <c r="K185" s="4">
        <f>INDEX(products!$A$1:$G$49,MATCH(orders!$D185, products!$A$1:$A$49,0), MATCH(orders!K$1,products!$A$1:$G$1,0))</f>
        <v>0.2</v>
      </c>
      <c r="L185" s="5">
        <f>INDEX(products!$A$1:$G$49,MATCH(orders!$D185, products!$A$1:$A$49,0), MATCH(orders!L$1,products!$A$1:$G$1,0))</f>
        <v>4.125</v>
      </c>
      <c r="M185" s="5">
        <f t="shared" si="6"/>
        <v>8.25</v>
      </c>
      <c r="N185" t="str">
        <f t="shared" si="7"/>
        <v>Excelsa</v>
      </c>
      <c r="O185" t="str">
        <f t="shared" si="8"/>
        <v>Medium</v>
      </c>
      <c r="P185" t="str">
        <f>_xlfn.XLOOKUP(Table1[[#This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IF(_xlfn.XLOOKUP(C186,customers!$A$1:$A$1001,customers!C185:C1185,,0)=0,"",_xlfn.XLOOKUP(C186,customers!$A$1:$A$1001,customers!C185:C1185,,0))</f>
        <v>lflaoniera8@wordpress.org</v>
      </c>
      <c r="H186" s="2" t="str">
        <f>_xlfn.XLOOKUP(orders!C186,customers!$A$1:$A$1001,customers!$G$1:$G$1001,,0)</f>
        <v>United States</v>
      </c>
      <c r="I186" t="str">
        <f>INDEX(products!$A$1:$G$49,MATCH(orders!$D186, products!$A$1:$A$49,0), MATCH(orders!I$1,products!$A$1:$G$1,0))</f>
        <v>Ara</v>
      </c>
      <c r="J186" t="str">
        <f>INDEX(products!$A$1:$G$49,MATCH(orders!$D186, products!$A$1:$A$49,0), MATCH(orders!J$1,products!$A$1:$G$1,0))</f>
        <v>L</v>
      </c>
      <c r="K186" s="4">
        <f>INDEX(products!$A$1:$G$49,MATCH(orders!$D186, products!$A$1:$A$49,0), MATCH(orders!K$1,products!$A$1:$G$1,0))</f>
        <v>0.5</v>
      </c>
      <c r="L186" s="5">
        <f>INDEX(products!$A$1:$G$49,MATCH(orders!$D186, products!$A$1:$A$49,0), MATCH(orders!L$1,products!$A$1:$G$1,0))</f>
        <v>7.77</v>
      </c>
      <c r="M186" s="5">
        <f t="shared" si="6"/>
        <v>31.08</v>
      </c>
      <c r="N186" t="str">
        <f t="shared" si="7"/>
        <v>Arabica</v>
      </c>
      <c r="O186" t="str">
        <f t="shared" si="8"/>
        <v>Light</v>
      </c>
      <c r="P186" t="str">
        <f>_xlfn.XLOOKUP(Table1[[#This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IF(_xlfn.XLOOKUP(C187,customers!$A$1:$A$1001,customers!C186:C1186,,0)=0,"",_xlfn.XLOOKUP(C187,customers!$A$1:$A$1001,customers!C186:C1186,,0))</f>
        <v>ccatchesideaa@macromedia.com</v>
      </c>
      <c r="H187" s="2" t="str">
        <f>_xlfn.XLOOKUP(orders!C187,customers!$A$1:$A$1001,customers!$G$1:$G$1001,,0)</f>
        <v>United States</v>
      </c>
      <c r="I187" t="str">
        <f>INDEX(products!$A$1:$G$49,MATCH(orders!$D187, products!$A$1:$A$49,0), MATCH(orders!I$1,products!$A$1:$G$1,0))</f>
        <v>Exc</v>
      </c>
      <c r="J187" t="str">
        <f>INDEX(products!$A$1:$G$49,MATCH(orders!$D187, products!$A$1:$A$49,0), MATCH(orders!J$1,products!$A$1:$G$1,0))</f>
        <v>D</v>
      </c>
      <c r="K187" s="4">
        <f>INDEX(products!$A$1:$G$49,MATCH(orders!$D187, products!$A$1:$A$49,0), MATCH(orders!K$1,products!$A$1:$G$1,0))</f>
        <v>0.5</v>
      </c>
      <c r="L187" s="5">
        <f>INDEX(products!$A$1:$G$49,MATCH(orders!$D187, products!$A$1:$A$49,0), MATCH(orders!L$1,products!$A$1:$G$1,0))</f>
        <v>7.29</v>
      </c>
      <c r="M187" s="5">
        <f t="shared" si="6"/>
        <v>36.450000000000003</v>
      </c>
      <c r="N187" t="str">
        <f t="shared" si="7"/>
        <v>Excelsa</v>
      </c>
      <c r="O187" t="str">
        <f t="shared" si="8"/>
        <v>Dark</v>
      </c>
      <c r="P187" t="str">
        <f>_xlfn.XLOOKUP(Table1[[#This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IF(_xlfn.XLOOKUP(C188,customers!$A$1:$A$1001,customers!C187:C1187,,0)=0,"",_xlfn.XLOOKUP(C188,customers!$A$1:$A$1001,customers!C187:C1187,,0))</f>
        <v>tfarraac@behance.net</v>
      </c>
      <c r="H188" s="2" t="str">
        <f>_xlfn.XLOOKUP(orders!C188,customers!$A$1:$A$1001,customers!$G$1:$G$1001,,0)</f>
        <v>United States</v>
      </c>
      <c r="I188" t="str">
        <f>INDEX(products!$A$1:$G$49,MATCH(orders!$D188, products!$A$1:$A$49,0), MATCH(orders!I$1,products!$A$1:$G$1,0))</f>
        <v>Rob</v>
      </c>
      <c r="J188" t="str">
        <f>INDEX(products!$A$1:$G$49,MATCH(orders!$D188, products!$A$1:$A$49,0), MATCH(orders!J$1,products!$A$1:$G$1,0))</f>
        <v>M</v>
      </c>
      <c r="K188" s="4">
        <f>INDEX(products!$A$1:$G$49,MATCH(orders!$D188, products!$A$1:$A$49,0), MATCH(orders!K$1,products!$A$1:$G$1,0))</f>
        <v>2.5</v>
      </c>
      <c r="L188" s="5">
        <f>INDEX(products!$A$1:$G$49,MATCH(orders!$D188, products!$A$1:$A$49,0), MATCH(orders!L$1,products!$A$1:$G$1,0))</f>
        <v>22.884999999999998</v>
      </c>
      <c r="M188" s="5">
        <f t="shared" si="6"/>
        <v>68.655000000000001</v>
      </c>
      <c r="N188" t="str">
        <f t="shared" si="7"/>
        <v>Robusta</v>
      </c>
      <c r="O188" t="str">
        <f t="shared" si="8"/>
        <v>Medium</v>
      </c>
      <c r="P188" t="str">
        <f>_xlfn.XLOOKUP(Table1[[#This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IF(_xlfn.XLOOKUP(C189,customers!$A$1:$A$1001,customers!C188:C1188,,0)=0,"",_xlfn.XLOOKUP(C189,customers!$A$1:$A$1001,customers!C188:C1188,,0))</f>
        <v>gbamfieldae@yellowpages.com</v>
      </c>
      <c r="H189" s="2" t="str">
        <f>_xlfn.XLOOKUP(orders!C189,customers!$A$1:$A$1001,customers!$G$1:$G$1001,,0)</f>
        <v>United States</v>
      </c>
      <c r="I189" t="str">
        <f>INDEX(products!$A$1:$G$49,MATCH(orders!$D189, products!$A$1:$A$49,0), MATCH(orders!I$1,products!$A$1:$G$1,0))</f>
        <v>Lib</v>
      </c>
      <c r="J189" t="str">
        <f>INDEX(products!$A$1:$G$49,MATCH(orders!$D189, products!$A$1:$A$49,0), MATCH(orders!J$1,products!$A$1:$G$1,0))</f>
        <v>M</v>
      </c>
      <c r="K189" s="4">
        <f>INDEX(products!$A$1:$G$49,MATCH(orders!$D189, products!$A$1:$A$49,0), MATCH(orders!K$1,products!$A$1:$G$1,0))</f>
        <v>0.5</v>
      </c>
      <c r="L189" s="5">
        <f>INDEX(products!$A$1:$G$49,MATCH(orders!$D189, products!$A$1:$A$49,0), MATCH(orders!L$1,products!$A$1:$G$1,0))</f>
        <v>8.73</v>
      </c>
      <c r="M189" s="5">
        <f t="shared" si="6"/>
        <v>43.650000000000006</v>
      </c>
      <c r="N189" t="str">
        <f t="shared" si="7"/>
        <v>Liberica</v>
      </c>
      <c r="O189" t="str">
        <f t="shared" si="8"/>
        <v>Medium</v>
      </c>
      <c r="P189" t="str">
        <f>_xlfn.XLOOKUP(Table1[[#This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IF(_xlfn.XLOOKUP(C190,customers!$A$1:$A$1001,customers!C189:C1189,,0)=0,"",_xlfn.XLOOKUP(C190,customers!$A$1:$A$1001,customers!C189:C1189,,0))</f>
        <v>jdeag@xrea.com</v>
      </c>
      <c r="H190" s="2" t="str">
        <f>_xlfn.XLOOKUP(orders!C190,customers!$A$1:$A$1001,customers!$G$1:$G$1001,,0)</f>
        <v>United States</v>
      </c>
      <c r="I190" t="str">
        <f>INDEX(products!$A$1:$G$49,MATCH(orders!$D190, products!$A$1:$A$49,0), MATCH(orders!I$1,products!$A$1:$G$1,0))</f>
        <v>Exc</v>
      </c>
      <c r="J190" t="str">
        <f>INDEX(products!$A$1:$G$49,MATCH(orders!$D190, products!$A$1:$A$49,0), MATCH(orders!J$1,products!$A$1:$G$1,0))</f>
        <v>L</v>
      </c>
      <c r="K190" s="4">
        <f>INDEX(products!$A$1:$G$49,MATCH(orders!$D190, products!$A$1:$A$49,0), MATCH(orders!K$1,products!$A$1:$G$1,0))</f>
        <v>0.2</v>
      </c>
      <c r="L190" s="5">
        <f>INDEX(products!$A$1:$G$49,MATCH(orders!$D190, products!$A$1:$A$49,0), MATCH(orders!L$1,products!$A$1:$G$1,0))</f>
        <v>4.4550000000000001</v>
      </c>
      <c r="M190" s="5">
        <f t="shared" si="6"/>
        <v>4.4550000000000001</v>
      </c>
      <c r="N190" t="str">
        <f t="shared" si="7"/>
        <v>Excelsa</v>
      </c>
      <c r="O190" t="str">
        <f t="shared" si="8"/>
        <v>Light</v>
      </c>
      <c r="P190" t="str">
        <f>_xlfn.XLOOKUP(Table1[[#This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IF(_xlfn.XLOOKUP(C191,customers!$A$1:$A$1001,customers!C190:C1190,,0)=0,"",_xlfn.XLOOKUP(C191,customers!$A$1:$A$1001,customers!C190:C1190,,0))</f>
        <v>jrudeforthai@wunderground.com</v>
      </c>
      <c r="H191" s="2" t="str">
        <f>_xlfn.XLOOKUP(orders!C191,customers!$A$1:$A$1001,customers!$G$1:$G$1001,,0)</f>
        <v>United States</v>
      </c>
      <c r="I191" t="str">
        <f>INDEX(products!$A$1:$G$49,MATCH(orders!$D191, products!$A$1:$A$49,0), MATCH(orders!I$1,products!$A$1:$G$1,0))</f>
        <v>Lib</v>
      </c>
      <c r="J191" t="str">
        <f>INDEX(products!$A$1:$G$49,MATCH(orders!$D191, products!$A$1:$A$49,0), MATCH(orders!J$1,products!$A$1:$G$1,0))</f>
        <v>M</v>
      </c>
      <c r="K191" s="4">
        <f>INDEX(products!$A$1:$G$49,MATCH(orders!$D191, products!$A$1:$A$49,0), MATCH(orders!K$1,products!$A$1:$G$1,0))</f>
        <v>1</v>
      </c>
      <c r="L191" s="5">
        <f>INDEX(products!$A$1:$G$49,MATCH(orders!$D191, products!$A$1:$A$49,0), MATCH(orders!L$1,products!$A$1:$G$1,0))</f>
        <v>14.55</v>
      </c>
      <c r="M191" s="5">
        <f t="shared" si="6"/>
        <v>43.650000000000006</v>
      </c>
      <c r="N191" t="str">
        <f t="shared" si="7"/>
        <v>Liberica</v>
      </c>
      <c r="O191" t="str">
        <f t="shared" si="8"/>
        <v>Medium</v>
      </c>
      <c r="P191" t="str">
        <f>_xlfn.XLOOKUP(Table1[[#This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IF(_xlfn.XLOOKUP(C192,customers!$A$1:$A$1001,customers!C191:C1191,,0)=0,"",_xlfn.XLOOKUP(C192,customers!$A$1:$A$1001,customers!C191:C1191,,0))</f>
        <v>fmartiak@stumbleupon.com</v>
      </c>
      <c r="H192" s="2" t="str">
        <f>_xlfn.XLOOKUP(orders!C192,customers!$A$1:$A$1001,customers!$G$1:$G$1001,,0)</f>
        <v>United States</v>
      </c>
      <c r="I192" t="str">
        <f>INDEX(products!$A$1:$G$49,MATCH(orders!$D192, products!$A$1:$A$49,0), MATCH(orders!I$1,products!$A$1:$G$1,0))</f>
        <v>Lib</v>
      </c>
      <c r="J192" t="str">
        <f>INDEX(products!$A$1:$G$49,MATCH(orders!$D192, products!$A$1:$A$49,0), MATCH(orders!J$1,products!$A$1:$G$1,0))</f>
        <v>M</v>
      </c>
      <c r="K192" s="4">
        <f>INDEX(products!$A$1:$G$49,MATCH(orders!$D192, products!$A$1:$A$49,0), MATCH(orders!K$1,products!$A$1:$G$1,0))</f>
        <v>2.5</v>
      </c>
      <c r="L192" s="5">
        <f>INDEX(products!$A$1:$G$49,MATCH(orders!$D192, products!$A$1:$A$49,0), MATCH(orders!L$1,products!$A$1:$G$1,0))</f>
        <v>33.464999999999996</v>
      </c>
      <c r="M192" s="5">
        <f t="shared" si="6"/>
        <v>33.464999999999996</v>
      </c>
      <c r="N192" t="str">
        <f t="shared" si="7"/>
        <v>Liberica</v>
      </c>
      <c r="O192" t="str">
        <f t="shared" si="8"/>
        <v>Medium</v>
      </c>
      <c r="P192" t="str">
        <f>_xlfn.XLOOKUP(Table1[[#This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IF(_xlfn.XLOOKUP(C193,customers!$A$1:$A$1001,customers!C192:C1192,,0)=0,"",_xlfn.XLOOKUP(C193,customers!$A$1:$A$1001,customers!C192:C1192,,0))</f>
        <v>ewindressam@marketwatch.com</v>
      </c>
      <c r="H193" s="2" t="str">
        <f>_xlfn.XLOOKUP(orders!C193,customers!$A$1:$A$1001,customers!$G$1:$G$1001,,0)</f>
        <v>United States</v>
      </c>
      <c r="I193" t="str">
        <f>INDEX(products!$A$1:$G$49,MATCH(orders!$D193, products!$A$1:$A$49,0), MATCH(orders!I$1,products!$A$1:$G$1,0))</f>
        <v>Lib</v>
      </c>
      <c r="J193" t="str">
        <f>INDEX(products!$A$1:$G$49,MATCH(orders!$D193, products!$A$1:$A$49,0), MATCH(orders!J$1,products!$A$1:$G$1,0))</f>
        <v>D</v>
      </c>
      <c r="K193" s="4">
        <f>INDEX(products!$A$1:$G$49,MATCH(orders!$D193, products!$A$1:$A$49,0), MATCH(orders!K$1,products!$A$1:$G$1,0))</f>
        <v>0.2</v>
      </c>
      <c r="L193" s="5">
        <f>INDEX(products!$A$1:$G$49,MATCH(orders!$D193, products!$A$1:$A$49,0), MATCH(orders!L$1,products!$A$1:$G$1,0))</f>
        <v>3.8849999999999998</v>
      </c>
      <c r="M193" s="5">
        <f t="shared" si="6"/>
        <v>19.424999999999997</v>
      </c>
      <c r="N193" t="str">
        <f t="shared" si="7"/>
        <v>Liberica</v>
      </c>
      <c r="O193" t="str">
        <f t="shared" si="8"/>
        <v>Dark</v>
      </c>
      <c r="P193" t="str">
        <f>_xlfn.XLOOKUP(Table1[[#This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IF(_xlfn.XLOOKUP(C194,customers!$A$1:$A$1001,customers!C193:C1193,,0)=0,"",_xlfn.XLOOKUP(C194,customers!$A$1:$A$1001,customers!C193:C1193,,0))</f>
        <v/>
      </c>
      <c r="H194" s="2" t="str">
        <f>_xlfn.XLOOKUP(orders!C194,customers!$A$1:$A$1001,customers!$G$1:$G$1001,,0)</f>
        <v>Ireland</v>
      </c>
      <c r="I194" t="str">
        <f>INDEX(products!$A$1:$G$49,MATCH(orders!$D194, products!$A$1:$A$49,0), MATCH(orders!I$1,products!$A$1:$G$1,0))</f>
        <v>Exc</v>
      </c>
      <c r="J194" t="str">
        <f>INDEX(products!$A$1:$G$49,MATCH(orders!$D194, products!$A$1:$A$49,0), MATCH(orders!J$1,products!$A$1:$G$1,0))</f>
        <v>D</v>
      </c>
      <c r="K194" s="4">
        <f>INDEX(products!$A$1:$G$49,MATCH(orders!$D194, products!$A$1:$A$49,0), MATCH(orders!K$1,products!$A$1:$G$1,0))</f>
        <v>1</v>
      </c>
      <c r="L194" s="5">
        <f>INDEX(products!$A$1:$G$49,MATCH(orders!$D194, products!$A$1:$A$49,0), MATCH(orders!L$1,products!$A$1:$G$1,0))</f>
        <v>12.15</v>
      </c>
      <c r="M194" s="5">
        <f t="shared" si="6"/>
        <v>72.900000000000006</v>
      </c>
      <c r="N194" t="str">
        <f t="shared" si="7"/>
        <v>Excelsa</v>
      </c>
      <c r="O194" t="str">
        <f t="shared" si="8"/>
        <v>Dark</v>
      </c>
      <c r="P194" t="str">
        <f>_xlfn.XLOOKUP(Table1[[#This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IF(_xlfn.XLOOKUP(C195,customers!$A$1:$A$1001,customers!C194:C1194,,0)=0,"",_xlfn.XLOOKUP(C195,customers!$A$1:$A$1001,customers!C194:C1194,,0))</f>
        <v/>
      </c>
      <c r="H195" s="2" t="str">
        <f>_xlfn.XLOOKUP(orders!C195,customers!$A$1:$A$1001,customers!$G$1:$G$1001,,0)</f>
        <v>United States</v>
      </c>
      <c r="I195" t="str">
        <f>INDEX(products!$A$1:$G$49,MATCH(orders!$D195, products!$A$1:$A$49,0), MATCH(orders!I$1,products!$A$1:$G$1,0))</f>
        <v>Exc</v>
      </c>
      <c r="J195" t="str">
        <f>INDEX(products!$A$1:$G$49,MATCH(orders!$D195, products!$A$1:$A$49,0), MATCH(orders!J$1,products!$A$1:$G$1,0))</f>
        <v>L</v>
      </c>
      <c r="K195" s="4">
        <f>INDEX(products!$A$1:$G$49,MATCH(orders!$D195, products!$A$1:$A$49,0), MATCH(orders!K$1,products!$A$1:$G$1,0))</f>
        <v>1</v>
      </c>
      <c r="L195" s="5">
        <f>INDEX(products!$A$1:$G$49,MATCH(orders!$D195, products!$A$1:$A$49,0), MATCH(orders!L$1,products!$A$1:$G$1,0))</f>
        <v>14.85</v>
      </c>
      <c r="M195" s="5">
        <f t="shared" ref="M195:M258" si="9">L195*E195</f>
        <v>44.55</v>
      </c>
      <c r="N195" t="str">
        <f t="shared" ref="N195:N258" si="10">IF(I195="Rob","Robusta",IF(I195="Exc", "Excelsa", IF(I195="Ara","Arabica", IF(I195="lib","Liberica",""))))</f>
        <v>Excelsa</v>
      </c>
      <c r="O195" t="str">
        <f t="shared" ref="O195:O258" si="11">IF(J195="M","Medium",IF(J195="L","Light",IF(J195="D","Dark", "")))</f>
        <v>Light</v>
      </c>
      <c r="P195" t="str">
        <f>_xlfn.XLOOKUP(Table1[[#This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IF(_xlfn.XLOOKUP(C196,customers!$A$1:$A$1001,customers!C195:C1195,,0)=0,"",_xlfn.XLOOKUP(C196,customers!$A$1:$A$1001,customers!C195:C1195,,0))</f>
        <v>msarvaras@artisteer.com</v>
      </c>
      <c r="H196" s="2" t="str">
        <f>_xlfn.XLOOKUP(orders!C196,customers!$A$1:$A$1001,customers!$G$1:$G$1001,,0)</f>
        <v>United States</v>
      </c>
      <c r="I196" t="str">
        <f>INDEX(products!$A$1:$G$49,MATCH(orders!$D196, products!$A$1:$A$49,0), MATCH(orders!I$1,products!$A$1:$G$1,0))</f>
        <v>Exc</v>
      </c>
      <c r="J196" t="str">
        <f>INDEX(products!$A$1:$G$49,MATCH(orders!$D196, products!$A$1:$A$49,0), MATCH(orders!J$1,products!$A$1:$G$1,0))</f>
        <v>D</v>
      </c>
      <c r="K196" s="4">
        <f>INDEX(products!$A$1:$G$49,MATCH(orders!$D196, products!$A$1:$A$49,0), MATCH(orders!K$1,products!$A$1:$G$1,0))</f>
        <v>0.5</v>
      </c>
      <c r="L196" s="5">
        <f>INDEX(products!$A$1:$G$49,MATCH(orders!$D196, products!$A$1:$A$49,0), MATCH(orders!L$1,products!$A$1:$G$1,0))</f>
        <v>7.29</v>
      </c>
      <c r="M196" s="5">
        <f t="shared" si="9"/>
        <v>36.450000000000003</v>
      </c>
      <c r="N196" t="str">
        <f t="shared" si="10"/>
        <v>Excelsa</v>
      </c>
      <c r="O196" t="str">
        <f t="shared" si="11"/>
        <v>Dark</v>
      </c>
      <c r="P196" t="str">
        <f>_xlfn.XLOOKUP(Table1[[#This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IF(_xlfn.XLOOKUP(C197,customers!$A$1:$A$1001,customers!C196:C1196,,0)=0,"",_xlfn.XLOOKUP(C197,customers!$A$1:$A$1001,customers!C196:C1196,,0))</f>
        <v>sdivinyau@ask.com</v>
      </c>
      <c r="H197" s="2" t="str">
        <f>_xlfn.XLOOKUP(orders!C197,customers!$A$1:$A$1001,customers!$G$1:$G$1001,,0)</f>
        <v>United States</v>
      </c>
      <c r="I197" t="str">
        <f>INDEX(products!$A$1:$G$49,MATCH(orders!$D197, products!$A$1:$A$49,0), MATCH(orders!I$1,products!$A$1:$G$1,0))</f>
        <v>Ara</v>
      </c>
      <c r="J197" t="str">
        <f>INDEX(products!$A$1:$G$49,MATCH(orders!$D197, products!$A$1:$A$49,0), MATCH(orders!J$1,products!$A$1:$G$1,0))</f>
        <v>L</v>
      </c>
      <c r="K197" s="4">
        <f>INDEX(products!$A$1:$G$49,MATCH(orders!$D197, products!$A$1:$A$49,0), MATCH(orders!K$1,products!$A$1:$G$1,0))</f>
        <v>1</v>
      </c>
      <c r="L197" s="5">
        <f>INDEX(products!$A$1:$G$49,MATCH(orders!$D197, products!$A$1:$A$49,0), MATCH(orders!L$1,products!$A$1:$G$1,0))</f>
        <v>12.95</v>
      </c>
      <c r="M197" s="5">
        <f t="shared" si="9"/>
        <v>38.849999999999994</v>
      </c>
      <c r="N197" t="str">
        <f t="shared" si="10"/>
        <v>Arabica</v>
      </c>
      <c r="O197" t="str">
        <f t="shared" si="11"/>
        <v>Light</v>
      </c>
      <c r="P197" t="str">
        <f>_xlfn.XLOOKUP(Table1[[#This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IF(_xlfn.XLOOKUP(C198,customers!$A$1:$A$1001,customers!C197:C1197,,0)=0,"",_xlfn.XLOOKUP(C198,customers!$A$1:$A$1001,customers!C197:C1197,,0))</f>
        <v>aiddisonaw@usa.gov</v>
      </c>
      <c r="H198" s="2" t="str">
        <f>_xlfn.XLOOKUP(orders!C198,customers!$A$1:$A$1001,customers!$G$1:$G$1001,,0)</f>
        <v>United States</v>
      </c>
      <c r="I198" t="str">
        <f>INDEX(products!$A$1:$G$49,MATCH(orders!$D198, products!$A$1:$A$49,0), MATCH(orders!I$1,products!$A$1:$G$1,0))</f>
        <v>Exc</v>
      </c>
      <c r="J198" t="str">
        <f>INDEX(products!$A$1:$G$49,MATCH(orders!$D198, products!$A$1:$A$49,0), MATCH(orders!J$1,products!$A$1:$G$1,0))</f>
        <v>L</v>
      </c>
      <c r="K198" s="4">
        <f>INDEX(products!$A$1:$G$49,MATCH(orders!$D198, products!$A$1:$A$49,0), MATCH(orders!K$1,products!$A$1:$G$1,0))</f>
        <v>0.5</v>
      </c>
      <c r="L198" s="5">
        <f>INDEX(products!$A$1:$G$49,MATCH(orders!$D198, products!$A$1:$A$49,0), MATCH(orders!L$1,products!$A$1:$G$1,0))</f>
        <v>8.91</v>
      </c>
      <c r="M198" s="5">
        <f t="shared" si="9"/>
        <v>53.46</v>
      </c>
      <c r="N198" t="str">
        <f t="shared" si="10"/>
        <v>Excelsa</v>
      </c>
      <c r="O198" t="str">
        <f t="shared" si="11"/>
        <v>Light</v>
      </c>
      <c r="P198" t="str">
        <f>_xlfn.XLOOKUP(Table1[[#This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IF(_xlfn.XLOOKUP(C199,customers!$A$1:$A$1001,customers!C198:C1198,,0)=0,"",_xlfn.XLOOKUP(C199,customers!$A$1:$A$1001,customers!C198:C1198,,0))</f>
        <v>dsprossonax@wunderground.com</v>
      </c>
      <c r="H199" s="2" t="str">
        <f>_xlfn.XLOOKUP(orders!C199,customers!$A$1:$A$1001,customers!$G$1:$G$1001,,0)</f>
        <v>United States</v>
      </c>
      <c r="I199" t="str">
        <f>INDEX(products!$A$1:$G$49,MATCH(orders!$D199, products!$A$1:$A$49,0), MATCH(orders!I$1,products!$A$1:$G$1,0))</f>
        <v>Lib</v>
      </c>
      <c r="J199" t="str">
        <f>INDEX(products!$A$1:$G$49,MATCH(orders!$D199, products!$A$1:$A$49,0), MATCH(orders!J$1,products!$A$1:$G$1,0))</f>
        <v>D</v>
      </c>
      <c r="K199" s="4">
        <f>INDEX(products!$A$1:$G$49,MATCH(orders!$D199, products!$A$1:$A$49,0), MATCH(orders!K$1,products!$A$1:$G$1,0))</f>
        <v>2.5</v>
      </c>
      <c r="L199" s="5">
        <f>INDEX(products!$A$1:$G$49,MATCH(orders!$D199, products!$A$1:$A$49,0), MATCH(orders!L$1,products!$A$1:$G$1,0))</f>
        <v>29.784999999999997</v>
      </c>
      <c r="M199" s="5">
        <f t="shared" si="9"/>
        <v>59.569999999999993</v>
      </c>
      <c r="N199" t="str">
        <f t="shared" si="10"/>
        <v>Liberica</v>
      </c>
      <c r="O199" t="str">
        <f t="shared" si="11"/>
        <v>Dark</v>
      </c>
      <c r="P199" t="str">
        <f>_xlfn.XLOOKUP(Table1[[#This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IF(_xlfn.XLOOKUP(C200,customers!$A$1:$A$1001,customers!C199:C1199,,0)=0,"",_xlfn.XLOOKUP(C200,customers!$A$1:$A$1001,customers!C199:C1199,,0))</f>
        <v>rlongfielday@bluehost.com</v>
      </c>
      <c r="H200" s="2" t="str">
        <f>_xlfn.XLOOKUP(orders!C200,customers!$A$1:$A$1001,customers!$G$1:$G$1001,,0)</f>
        <v>United States</v>
      </c>
      <c r="I200" t="str">
        <f>INDEX(products!$A$1:$G$49,MATCH(orders!$D200, products!$A$1:$A$49,0), MATCH(orders!I$1,products!$A$1:$G$1,0))</f>
        <v>Lib</v>
      </c>
      <c r="J200" t="str">
        <f>INDEX(products!$A$1:$G$49,MATCH(orders!$D200, products!$A$1:$A$49,0), MATCH(orders!J$1,products!$A$1:$G$1,0))</f>
        <v>D</v>
      </c>
      <c r="K200" s="4">
        <f>INDEX(products!$A$1:$G$49,MATCH(orders!$D200, products!$A$1:$A$49,0), MATCH(orders!K$1,products!$A$1:$G$1,0))</f>
        <v>2.5</v>
      </c>
      <c r="L200" s="5">
        <f>INDEX(products!$A$1:$G$49,MATCH(orders!$D200, products!$A$1:$A$49,0), MATCH(orders!L$1,products!$A$1:$G$1,0))</f>
        <v>29.784999999999997</v>
      </c>
      <c r="M200" s="5">
        <f t="shared" si="9"/>
        <v>89.35499999999999</v>
      </c>
      <c r="N200" t="str">
        <f t="shared" si="10"/>
        <v>Liberica</v>
      </c>
      <c r="O200" t="str">
        <f t="shared" si="11"/>
        <v>Dark</v>
      </c>
      <c r="P200" t="str">
        <f>_xlfn.XLOOKUP(Table1[[#This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IF(_xlfn.XLOOKUP(C201,customers!$A$1:$A$1001,customers!C200:C1200,,0)=0,"",_xlfn.XLOOKUP(C201,customers!$A$1:$A$1001,customers!C200:C1200,,0))</f>
        <v>gkislingburyaz@samsung.com</v>
      </c>
      <c r="H201" s="2" t="str">
        <f>_xlfn.XLOOKUP(orders!C201,customers!$A$1:$A$1001,customers!$G$1:$G$1001,,0)</f>
        <v>United States</v>
      </c>
      <c r="I201" t="str">
        <f>INDEX(products!$A$1:$G$49,MATCH(orders!$D201, products!$A$1:$A$49,0), MATCH(orders!I$1,products!$A$1:$G$1,0))</f>
        <v>Lib</v>
      </c>
      <c r="J201" t="str">
        <f>INDEX(products!$A$1:$G$49,MATCH(orders!$D201, products!$A$1:$A$49,0), MATCH(orders!J$1,products!$A$1:$G$1,0))</f>
        <v>L</v>
      </c>
      <c r="K201" s="4">
        <f>INDEX(products!$A$1:$G$49,MATCH(orders!$D201, products!$A$1:$A$49,0), MATCH(orders!K$1,products!$A$1:$G$1,0))</f>
        <v>0.5</v>
      </c>
      <c r="L201" s="5">
        <f>INDEX(products!$A$1:$G$49,MATCH(orders!$D201, products!$A$1:$A$49,0), MATCH(orders!L$1,products!$A$1:$G$1,0))</f>
        <v>9.51</v>
      </c>
      <c r="M201" s="5">
        <f t="shared" si="9"/>
        <v>38.04</v>
      </c>
      <c r="N201" t="str">
        <f t="shared" si="10"/>
        <v>Liberica</v>
      </c>
      <c r="O201" t="str">
        <f t="shared" si="11"/>
        <v>Light</v>
      </c>
      <c r="P201" t="str">
        <f>_xlfn.XLOOKUP(Table1[[#This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IF(_xlfn.XLOOKUP(C202,customers!$A$1:$A$1001,customers!C201:C1201,,0)=0,"",_xlfn.XLOOKUP(C202,customers!$A$1:$A$1001,customers!C201:C1201,,0))</f>
        <v>xgibbonsb0@artisteer.com</v>
      </c>
      <c r="H202" s="2" t="str">
        <f>_xlfn.XLOOKUP(orders!C202,customers!$A$1:$A$1001,customers!$G$1:$G$1001,,0)</f>
        <v>United States</v>
      </c>
      <c r="I202" t="str">
        <f>INDEX(products!$A$1:$G$49,MATCH(orders!$D202, products!$A$1:$A$49,0), MATCH(orders!I$1,products!$A$1:$G$1,0))</f>
        <v>Exc</v>
      </c>
      <c r="J202" t="str">
        <f>INDEX(products!$A$1:$G$49,MATCH(orders!$D202, products!$A$1:$A$49,0), MATCH(orders!J$1,products!$A$1:$G$1,0))</f>
        <v>M</v>
      </c>
      <c r="K202" s="4">
        <f>INDEX(products!$A$1:$G$49,MATCH(orders!$D202, products!$A$1:$A$49,0), MATCH(orders!K$1,products!$A$1:$G$1,0))</f>
        <v>1</v>
      </c>
      <c r="L202" s="5">
        <f>INDEX(products!$A$1:$G$49,MATCH(orders!$D202, products!$A$1:$A$49,0), MATCH(orders!L$1,products!$A$1:$G$1,0))</f>
        <v>13.75</v>
      </c>
      <c r="M202" s="5">
        <f t="shared" si="9"/>
        <v>41.25</v>
      </c>
      <c r="N202" t="str">
        <f t="shared" si="10"/>
        <v>Excelsa</v>
      </c>
      <c r="O202" t="str">
        <f t="shared" si="11"/>
        <v>Medium</v>
      </c>
      <c r="P202" t="str">
        <f>_xlfn.XLOOKUP(Table1[[#This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IF(_xlfn.XLOOKUP(C203,customers!$A$1:$A$1001,customers!C202:C1202,,0)=0,"",_xlfn.XLOOKUP(C203,customers!$A$1:$A$1001,customers!C202:C1202,,0))</f>
        <v>gcroysdaleb6@nih.gov</v>
      </c>
      <c r="H203" s="2" t="str">
        <f>_xlfn.XLOOKUP(orders!C203,customers!$A$1:$A$1001,customers!$G$1:$G$1001,,0)</f>
        <v>United States</v>
      </c>
      <c r="I203" t="str">
        <f>INDEX(products!$A$1:$G$49,MATCH(orders!$D203, products!$A$1:$A$49,0), MATCH(orders!I$1,products!$A$1:$G$1,0))</f>
        <v>Lib</v>
      </c>
      <c r="J203" t="str">
        <f>INDEX(products!$A$1:$G$49,MATCH(orders!$D203, products!$A$1:$A$49,0), MATCH(orders!J$1,products!$A$1:$G$1,0))</f>
        <v>L</v>
      </c>
      <c r="K203" s="4">
        <f>INDEX(products!$A$1:$G$49,MATCH(orders!$D203, products!$A$1:$A$49,0), MATCH(orders!K$1,products!$A$1:$G$1,0))</f>
        <v>0.5</v>
      </c>
      <c r="L203" s="5">
        <f>INDEX(products!$A$1:$G$49,MATCH(orders!$D203, products!$A$1:$A$49,0), MATCH(orders!L$1,products!$A$1:$G$1,0))</f>
        <v>9.51</v>
      </c>
      <c r="M203" s="5">
        <f t="shared" si="9"/>
        <v>57.06</v>
      </c>
      <c r="N203" t="str">
        <f t="shared" si="10"/>
        <v>Liberica</v>
      </c>
      <c r="O203" t="str">
        <f t="shared" si="11"/>
        <v>Light</v>
      </c>
      <c r="P203" t="str">
        <f>_xlfn.XLOOKUP(Table1[[#This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IF(_xlfn.XLOOKUP(C204,customers!$A$1:$A$1001,customers!C203:C1203,,0)=0,"",_xlfn.XLOOKUP(C204,customers!$A$1:$A$1001,customers!C203:C1203,,0))</f>
        <v>tcraggsb8@house.gov</v>
      </c>
      <c r="H204" s="2" t="str">
        <f>_xlfn.XLOOKUP(orders!C204,customers!$A$1:$A$1001,customers!$G$1:$G$1001,,0)</f>
        <v>United States</v>
      </c>
      <c r="I204" t="str">
        <f>INDEX(products!$A$1:$G$49,MATCH(orders!$D204, products!$A$1:$A$49,0), MATCH(orders!I$1,products!$A$1:$G$1,0))</f>
        <v>Lib</v>
      </c>
      <c r="J204" t="str">
        <f>INDEX(products!$A$1:$G$49,MATCH(orders!$D204, products!$A$1:$A$49,0), MATCH(orders!J$1,products!$A$1:$G$1,0))</f>
        <v>D</v>
      </c>
      <c r="K204" s="4">
        <f>INDEX(products!$A$1:$G$49,MATCH(orders!$D204, products!$A$1:$A$49,0), MATCH(orders!K$1,products!$A$1:$G$1,0))</f>
        <v>2.5</v>
      </c>
      <c r="L204" s="5">
        <f>INDEX(products!$A$1:$G$49,MATCH(orders!$D204, products!$A$1:$A$49,0), MATCH(orders!L$1,products!$A$1:$G$1,0))</f>
        <v>29.784999999999997</v>
      </c>
      <c r="M204" s="5">
        <f t="shared" si="9"/>
        <v>178.70999999999998</v>
      </c>
      <c r="N204" t="str">
        <f t="shared" si="10"/>
        <v>Liberica</v>
      </c>
      <c r="O204" t="str">
        <f t="shared" si="11"/>
        <v>Dark</v>
      </c>
      <c r="P204" t="str">
        <f>_xlfn.XLOOKUP(Table1[[#This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IF(_xlfn.XLOOKUP(C205,customers!$A$1:$A$1001,customers!C204:C1204,,0)=0,"",_xlfn.XLOOKUP(C205,customers!$A$1:$A$1001,customers!C204:C1204,,0))</f>
        <v>arizonba@xing.com</v>
      </c>
      <c r="H205" s="2" t="str">
        <f>_xlfn.XLOOKUP(orders!C205,customers!$A$1:$A$1001,customers!$G$1:$G$1001,,0)</f>
        <v>United States</v>
      </c>
      <c r="I205" t="str">
        <f>INDEX(products!$A$1:$G$49,MATCH(orders!$D205, products!$A$1:$A$49,0), MATCH(orders!I$1,products!$A$1:$G$1,0))</f>
        <v>Lib</v>
      </c>
      <c r="J205" t="str">
        <f>INDEX(products!$A$1:$G$49,MATCH(orders!$D205, products!$A$1:$A$49,0), MATCH(orders!J$1,products!$A$1:$G$1,0))</f>
        <v>L</v>
      </c>
      <c r="K205" s="4">
        <f>INDEX(products!$A$1:$G$49,MATCH(orders!$D205, products!$A$1:$A$49,0), MATCH(orders!K$1,products!$A$1:$G$1,0))</f>
        <v>0.2</v>
      </c>
      <c r="L205" s="5">
        <f>INDEX(products!$A$1:$G$49,MATCH(orders!$D205, products!$A$1:$A$49,0), MATCH(orders!L$1,products!$A$1:$G$1,0))</f>
        <v>4.7549999999999999</v>
      </c>
      <c r="M205" s="5">
        <f t="shared" si="9"/>
        <v>4.7549999999999999</v>
      </c>
      <c r="N205" t="str">
        <f t="shared" si="10"/>
        <v>Liberica</v>
      </c>
      <c r="O205" t="str">
        <f t="shared" si="11"/>
        <v>Light</v>
      </c>
      <c r="P205" t="str">
        <f>_xlfn.XLOOKUP(Table1[[#This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IF(_xlfn.XLOOKUP(C206,customers!$A$1:$A$1001,customers!C205:C1205,,0)=0,"",_xlfn.XLOOKUP(C206,customers!$A$1:$A$1001,customers!C205:C1205,,0))</f>
        <v>fmiellbc@spiegel.de</v>
      </c>
      <c r="H206" s="2" t="str">
        <f>_xlfn.XLOOKUP(orders!C206,customers!$A$1:$A$1001,customers!$G$1:$G$1001,,0)</f>
        <v>United States</v>
      </c>
      <c r="I206" t="str">
        <f>INDEX(products!$A$1:$G$49,MATCH(orders!$D206, products!$A$1:$A$49,0), MATCH(orders!I$1,products!$A$1:$G$1,0))</f>
        <v>Exc</v>
      </c>
      <c r="J206" t="str">
        <f>INDEX(products!$A$1:$G$49,MATCH(orders!$D206, products!$A$1:$A$49,0), MATCH(orders!J$1,products!$A$1:$G$1,0))</f>
        <v>M</v>
      </c>
      <c r="K206" s="4">
        <f>INDEX(products!$A$1:$G$49,MATCH(orders!$D206, products!$A$1:$A$49,0), MATCH(orders!K$1,products!$A$1:$G$1,0))</f>
        <v>1</v>
      </c>
      <c r="L206" s="5">
        <f>INDEX(products!$A$1:$G$49,MATCH(orders!$D206, products!$A$1:$A$49,0), MATCH(orders!L$1,products!$A$1:$G$1,0))</f>
        <v>13.75</v>
      </c>
      <c r="M206" s="5">
        <f t="shared" si="9"/>
        <v>82.5</v>
      </c>
      <c r="N206" t="str">
        <f t="shared" si="10"/>
        <v>Excelsa</v>
      </c>
      <c r="O206" t="str">
        <f t="shared" si="11"/>
        <v>Medium</v>
      </c>
      <c r="P206" t="str">
        <f>_xlfn.XLOOKUP(Table1[[#This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IF(_xlfn.XLOOKUP(C207,customers!$A$1:$A$1001,customers!C206:C1206,,0)=0,"",_xlfn.XLOOKUP(C207,customers!$A$1:$A$1001,customers!C206:C1206,,0))</f>
        <v/>
      </c>
      <c r="H207" s="2" t="str">
        <f>_xlfn.XLOOKUP(orders!C207,customers!$A$1:$A$1001,customers!$G$1:$G$1001,,0)</f>
        <v>United States</v>
      </c>
      <c r="I207" t="str">
        <f>INDEX(products!$A$1:$G$49,MATCH(orders!$D207, products!$A$1:$A$49,0), MATCH(orders!I$1,products!$A$1:$G$1,0))</f>
        <v>Rob</v>
      </c>
      <c r="J207" t="str">
        <f>INDEX(products!$A$1:$G$49,MATCH(orders!$D207, products!$A$1:$A$49,0), MATCH(orders!J$1,products!$A$1:$G$1,0))</f>
        <v>D</v>
      </c>
      <c r="K207" s="4">
        <f>INDEX(products!$A$1:$G$49,MATCH(orders!$D207, products!$A$1:$A$49,0), MATCH(orders!K$1,products!$A$1:$G$1,0))</f>
        <v>0.2</v>
      </c>
      <c r="L207" s="5">
        <f>INDEX(products!$A$1:$G$49,MATCH(orders!$D207, products!$A$1:$A$49,0), MATCH(orders!L$1,products!$A$1:$G$1,0))</f>
        <v>2.6849999999999996</v>
      </c>
      <c r="M207" s="5">
        <f t="shared" si="9"/>
        <v>8.0549999999999997</v>
      </c>
      <c r="N207" t="str">
        <f t="shared" si="10"/>
        <v>Robusta</v>
      </c>
      <c r="O207" t="str">
        <f t="shared" si="11"/>
        <v>Dark</v>
      </c>
      <c r="P207" t="str">
        <f>_xlfn.XLOOKUP(Table1[[#This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IF(_xlfn.XLOOKUP(C208,customers!$A$1:$A$1001,customers!C207:C1207,,0)=0,"",_xlfn.XLOOKUP(C208,customers!$A$1:$A$1001,customers!C207:C1207,,0))</f>
        <v/>
      </c>
      <c r="H208" s="2" t="str">
        <f>_xlfn.XLOOKUP(orders!C208,customers!$A$1:$A$1001,customers!$G$1:$G$1001,,0)</f>
        <v>United States</v>
      </c>
      <c r="I208" t="str">
        <f>INDEX(products!$A$1:$G$49,MATCH(orders!$D208, products!$A$1:$A$49,0), MATCH(orders!I$1,products!$A$1:$G$1,0))</f>
        <v>Ara</v>
      </c>
      <c r="J208" t="str">
        <f>INDEX(products!$A$1:$G$49,MATCH(orders!$D208, products!$A$1:$A$49,0), MATCH(orders!J$1,products!$A$1:$G$1,0))</f>
        <v>M</v>
      </c>
      <c r="K208" s="4">
        <f>INDEX(products!$A$1:$G$49,MATCH(orders!$D208, products!$A$1:$A$49,0), MATCH(orders!K$1,products!$A$1:$G$1,0))</f>
        <v>1</v>
      </c>
      <c r="L208" s="5">
        <f>INDEX(products!$A$1:$G$49,MATCH(orders!$D208, products!$A$1:$A$49,0), MATCH(orders!L$1,products!$A$1:$G$1,0))</f>
        <v>11.25</v>
      </c>
      <c r="M208" s="5">
        <f t="shared" si="9"/>
        <v>22.5</v>
      </c>
      <c r="N208" t="str">
        <f t="shared" si="10"/>
        <v>Arabica</v>
      </c>
      <c r="O208" t="str">
        <f t="shared" si="11"/>
        <v>Medium</v>
      </c>
      <c r="P208" t="str">
        <f>_xlfn.XLOOKUP(Table1[[#This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IF(_xlfn.XLOOKUP(C209,customers!$A$1:$A$1001,customers!C208:C1208,,0)=0,"",_xlfn.XLOOKUP(C209,customers!$A$1:$A$1001,customers!C208:C1208,,0))</f>
        <v/>
      </c>
      <c r="H209" s="2" t="str">
        <f>_xlfn.XLOOKUP(orders!C209,customers!$A$1:$A$1001,customers!$G$1:$G$1001,,0)</f>
        <v>United States</v>
      </c>
      <c r="I209" t="str">
        <f>INDEX(products!$A$1:$G$49,MATCH(orders!$D209, products!$A$1:$A$49,0), MATCH(orders!I$1,products!$A$1:$G$1,0))</f>
        <v>Ara</v>
      </c>
      <c r="J209" t="str">
        <f>INDEX(products!$A$1:$G$49,MATCH(orders!$D209, products!$A$1:$A$49,0), MATCH(orders!J$1,products!$A$1:$G$1,0))</f>
        <v>M</v>
      </c>
      <c r="K209" s="4">
        <f>INDEX(products!$A$1:$G$49,MATCH(orders!$D209, products!$A$1:$A$49,0), MATCH(orders!K$1,products!$A$1:$G$1,0))</f>
        <v>0.5</v>
      </c>
      <c r="L209" s="5">
        <f>INDEX(products!$A$1:$G$49,MATCH(orders!$D209, products!$A$1:$A$49,0), MATCH(orders!L$1,products!$A$1:$G$1,0))</f>
        <v>6.75</v>
      </c>
      <c r="M209" s="5">
        <f t="shared" si="9"/>
        <v>40.5</v>
      </c>
      <c r="N209" t="str">
        <f t="shared" si="10"/>
        <v>Arabica</v>
      </c>
      <c r="O209" t="str">
        <f t="shared" si="11"/>
        <v>Medium</v>
      </c>
      <c r="P209" t="str">
        <f>_xlfn.XLOOKUP(Table1[[#This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IF(_xlfn.XLOOKUP(C210,customers!$A$1:$A$1001,customers!C209:C1209,,0)=0,"",_xlfn.XLOOKUP(C210,customers!$A$1:$A$1001,customers!C209:C1209,,0))</f>
        <v/>
      </c>
      <c r="H210" s="2" t="str">
        <f>_xlfn.XLOOKUP(orders!C210,customers!$A$1:$A$1001,customers!$G$1:$G$1001,,0)</f>
        <v>Ireland</v>
      </c>
      <c r="I210" t="str">
        <f>INDEX(products!$A$1:$G$49,MATCH(orders!$D210, products!$A$1:$A$49,0), MATCH(orders!I$1,products!$A$1:$G$1,0))</f>
        <v>Exc</v>
      </c>
      <c r="J210" t="str">
        <f>INDEX(products!$A$1:$G$49,MATCH(orders!$D210, products!$A$1:$A$49,0), MATCH(orders!J$1,products!$A$1:$G$1,0))</f>
        <v>D</v>
      </c>
      <c r="K210" s="4">
        <f>INDEX(products!$A$1:$G$49,MATCH(orders!$D210, products!$A$1:$A$49,0), MATCH(orders!K$1,products!$A$1:$G$1,0))</f>
        <v>0.5</v>
      </c>
      <c r="L210" s="5">
        <f>INDEX(products!$A$1:$G$49,MATCH(orders!$D210, products!$A$1:$A$49,0), MATCH(orders!L$1,products!$A$1:$G$1,0))</f>
        <v>7.29</v>
      </c>
      <c r="M210" s="5">
        <f t="shared" si="9"/>
        <v>29.16</v>
      </c>
      <c r="N210" t="str">
        <f t="shared" si="10"/>
        <v>Excelsa</v>
      </c>
      <c r="O210" t="str">
        <f t="shared" si="11"/>
        <v>Dark</v>
      </c>
      <c r="P210" t="str">
        <f>_xlfn.XLOOKUP(Table1[[#This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IF(_xlfn.XLOOKUP(C211,customers!$A$1:$A$1001,customers!C210:C1210,,0)=0,"",_xlfn.XLOOKUP(C211,customers!$A$1:$A$1001,customers!C210:C1210,,0))</f>
        <v>bmcgilvrabm@so-net.ne.jp</v>
      </c>
      <c r="H211" s="2" t="str">
        <f>_xlfn.XLOOKUP(orders!C211,customers!$A$1:$A$1001,customers!$G$1:$G$1001,,0)</f>
        <v>United Kingdom</v>
      </c>
      <c r="I211" t="str">
        <f>INDEX(products!$A$1:$G$49,MATCH(orders!$D211, products!$A$1:$A$49,0), MATCH(orders!I$1,products!$A$1:$G$1,0))</f>
        <v>Ara</v>
      </c>
      <c r="J211" t="str">
        <f>INDEX(products!$A$1:$G$49,MATCH(orders!$D211, products!$A$1:$A$49,0), MATCH(orders!J$1,products!$A$1:$G$1,0))</f>
        <v>M</v>
      </c>
      <c r="K211" s="4">
        <f>INDEX(products!$A$1:$G$49,MATCH(orders!$D211, products!$A$1:$A$49,0), MATCH(orders!K$1,products!$A$1:$G$1,0))</f>
        <v>0.5</v>
      </c>
      <c r="L211" s="5">
        <f>INDEX(products!$A$1:$G$49,MATCH(orders!$D211, products!$A$1:$A$49,0), MATCH(orders!L$1,products!$A$1:$G$1,0))</f>
        <v>6.75</v>
      </c>
      <c r="M211" s="5">
        <f t="shared" si="9"/>
        <v>6.75</v>
      </c>
      <c r="N211" t="str">
        <f t="shared" si="10"/>
        <v>Arabica</v>
      </c>
      <c r="O211" t="str">
        <f t="shared" si="11"/>
        <v>Medium</v>
      </c>
      <c r="P211" t="str">
        <f>_xlfn.XLOOKUP(Table1[[#This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IF(_xlfn.XLOOKUP(C212,customers!$A$1:$A$1001,customers!C211:C1211,,0)=0,"",_xlfn.XLOOKUP(C212,customers!$A$1:$A$1001,customers!C211:C1211,,0))</f>
        <v>amckellerbo@ning.com</v>
      </c>
      <c r="H212" s="2" t="str">
        <f>_xlfn.XLOOKUP(orders!C212,customers!$A$1:$A$1001,customers!$G$1:$G$1001,,0)</f>
        <v>United States</v>
      </c>
      <c r="I212" t="str">
        <f>INDEX(products!$A$1:$G$49,MATCH(orders!$D212, products!$A$1:$A$49,0), MATCH(orders!I$1,products!$A$1:$G$1,0))</f>
        <v>Lib</v>
      </c>
      <c r="J212" t="str">
        <f>INDEX(products!$A$1:$G$49,MATCH(orders!$D212, products!$A$1:$A$49,0), MATCH(orders!J$1,products!$A$1:$G$1,0))</f>
        <v>D</v>
      </c>
      <c r="K212" s="4">
        <f>INDEX(products!$A$1:$G$49,MATCH(orders!$D212, products!$A$1:$A$49,0), MATCH(orders!K$1,products!$A$1:$G$1,0))</f>
        <v>1</v>
      </c>
      <c r="L212" s="5">
        <f>INDEX(products!$A$1:$G$49,MATCH(orders!$D212, products!$A$1:$A$49,0), MATCH(orders!L$1,products!$A$1:$G$1,0))</f>
        <v>12.95</v>
      </c>
      <c r="M212" s="5">
        <f t="shared" si="9"/>
        <v>51.8</v>
      </c>
      <c r="N212" t="str">
        <f t="shared" si="10"/>
        <v>Liberica</v>
      </c>
      <c r="O212" t="str">
        <f t="shared" si="11"/>
        <v>Dark</v>
      </c>
      <c r="P212" t="str">
        <f>_xlfn.XLOOKUP(Table1[[#This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IF(_xlfn.XLOOKUP(C213,customers!$A$1:$A$1001,customers!C212:C1212,,0)=0,"",_xlfn.XLOOKUP(C213,customers!$A$1:$A$1001,customers!C212:C1212,,0))</f>
        <v/>
      </c>
      <c r="H213" s="2" t="str">
        <f>_xlfn.XLOOKUP(orders!C213,customers!$A$1:$A$1001,customers!$G$1:$G$1001,,0)</f>
        <v>United States</v>
      </c>
      <c r="I213" t="str">
        <f>INDEX(products!$A$1:$G$49,MATCH(orders!$D213, products!$A$1:$A$49,0), MATCH(orders!I$1,products!$A$1:$G$1,0))</f>
        <v>Exc</v>
      </c>
      <c r="J213" t="str">
        <f>INDEX(products!$A$1:$G$49,MATCH(orders!$D213, products!$A$1:$A$49,0), MATCH(orders!J$1,products!$A$1:$G$1,0))</f>
        <v>L</v>
      </c>
      <c r="K213" s="4">
        <f>INDEX(products!$A$1:$G$49,MATCH(orders!$D213, products!$A$1:$A$49,0), MATCH(orders!K$1,products!$A$1:$G$1,0))</f>
        <v>0.5</v>
      </c>
      <c r="L213" s="5">
        <f>INDEX(products!$A$1:$G$49,MATCH(orders!$D213, products!$A$1:$A$49,0), MATCH(orders!L$1,products!$A$1:$G$1,0))</f>
        <v>8.91</v>
      </c>
      <c r="M213" s="5">
        <f t="shared" si="9"/>
        <v>53.46</v>
      </c>
      <c r="N213" t="str">
        <f t="shared" si="10"/>
        <v>Excelsa</v>
      </c>
      <c r="O213" t="str">
        <f t="shared" si="11"/>
        <v>Light</v>
      </c>
      <c r="P213" t="str">
        <f>_xlfn.XLOOKUP(Table1[[#This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IF(_xlfn.XLOOKUP(C214,customers!$A$1:$A$1001,customers!C213:C1213,,0)=0,"",_xlfn.XLOOKUP(C214,customers!$A$1:$A$1001,customers!C213:C1213,,0))</f>
        <v>ydombrellbs@dedecms.com</v>
      </c>
      <c r="H214" s="2" t="str">
        <f>_xlfn.XLOOKUP(orders!C214,customers!$A$1:$A$1001,customers!$G$1:$G$1001,,0)</f>
        <v>United States</v>
      </c>
      <c r="I214" t="str">
        <f>INDEX(products!$A$1:$G$49,MATCH(orders!$D214, products!$A$1:$A$49,0), MATCH(orders!I$1,products!$A$1:$G$1,0))</f>
        <v>Exc</v>
      </c>
      <c r="J214" t="str">
        <f>INDEX(products!$A$1:$G$49,MATCH(orders!$D214, products!$A$1:$A$49,0), MATCH(orders!J$1,products!$A$1:$G$1,0))</f>
        <v>D</v>
      </c>
      <c r="K214" s="4">
        <f>INDEX(products!$A$1:$G$49,MATCH(orders!$D214, products!$A$1:$A$49,0), MATCH(orders!K$1,products!$A$1:$G$1,0))</f>
        <v>0.2</v>
      </c>
      <c r="L214" s="5">
        <f>INDEX(products!$A$1:$G$49,MATCH(orders!$D214, products!$A$1:$A$49,0), MATCH(orders!L$1,products!$A$1:$G$1,0))</f>
        <v>3.645</v>
      </c>
      <c r="M214" s="5">
        <f t="shared" si="9"/>
        <v>14.58</v>
      </c>
      <c r="N214" t="str">
        <f t="shared" si="10"/>
        <v>Excelsa</v>
      </c>
      <c r="O214" t="str">
        <f t="shared" si="11"/>
        <v>Dark</v>
      </c>
      <c r="P214" t="str">
        <f>_xlfn.XLOOKUP(Table1[[#This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IF(_xlfn.XLOOKUP(C215,customers!$A$1:$A$1001,customers!C214:C1214,,0)=0,"",_xlfn.XLOOKUP(C215,customers!$A$1:$A$1001,customers!C214:C1214,,0))</f>
        <v>mdarrigoebu@hud.gov</v>
      </c>
      <c r="H215" s="2" t="str">
        <f>_xlfn.XLOOKUP(orders!C215,customers!$A$1:$A$1001,customers!$G$1:$G$1001,,0)</f>
        <v>United States</v>
      </c>
      <c r="I215" t="str">
        <f>INDEX(products!$A$1:$G$49,MATCH(orders!$D215, products!$A$1:$A$49,0), MATCH(orders!I$1,products!$A$1:$G$1,0))</f>
        <v>Rob</v>
      </c>
      <c r="J215" t="str">
        <f>INDEX(products!$A$1:$G$49,MATCH(orders!$D215, products!$A$1:$A$49,0), MATCH(orders!J$1,products!$A$1:$G$1,0))</f>
        <v>D</v>
      </c>
      <c r="K215" s="4">
        <f>INDEX(products!$A$1:$G$49,MATCH(orders!$D215, products!$A$1:$A$49,0), MATCH(orders!K$1,products!$A$1:$G$1,0))</f>
        <v>2.5</v>
      </c>
      <c r="L215" s="5">
        <f>INDEX(products!$A$1:$G$49,MATCH(orders!$D215, products!$A$1:$A$49,0), MATCH(orders!L$1,products!$A$1:$G$1,0))</f>
        <v>20.584999999999997</v>
      </c>
      <c r="M215" s="5">
        <f t="shared" si="9"/>
        <v>20.584999999999997</v>
      </c>
      <c r="N215" t="str">
        <f t="shared" si="10"/>
        <v>Robusta</v>
      </c>
      <c r="O215" t="str">
        <f t="shared" si="11"/>
        <v>Dark</v>
      </c>
      <c r="P215" t="str">
        <f>_xlfn.XLOOKUP(Table1[[#This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IF(_xlfn.XLOOKUP(C216,customers!$A$1:$A$1001,customers!C215:C1215,,0)=0,"",_xlfn.XLOOKUP(C216,customers!$A$1:$A$1001,customers!C215:C1215,,0))</f>
        <v>mackrillbw@bandcamp.com</v>
      </c>
      <c r="H216" s="2" t="str">
        <f>_xlfn.XLOOKUP(orders!C216,customers!$A$1:$A$1001,customers!$G$1:$G$1001,,0)</f>
        <v>Ireland</v>
      </c>
      <c r="I216" t="str">
        <f>INDEX(products!$A$1:$G$49,MATCH(orders!$D216, products!$A$1:$A$49,0), MATCH(orders!I$1,products!$A$1:$G$1,0))</f>
        <v>Lib</v>
      </c>
      <c r="J216" t="str">
        <f>INDEX(products!$A$1:$G$49,MATCH(orders!$D216, products!$A$1:$A$49,0), MATCH(orders!J$1,products!$A$1:$G$1,0))</f>
        <v>L</v>
      </c>
      <c r="K216" s="4">
        <f>INDEX(products!$A$1:$G$49,MATCH(orders!$D216, products!$A$1:$A$49,0), MATCH(orders!K$1,products!$A$1:$G$1,0))</f>
        <v>1</v>
      </c>
      <c r="L216" s="5">
        <f>INDEX(products!$A$1:$G$49,MATCH(orders!$D216, products!$A$1:$A$49,0), MATCH(orders!L$1,products!$A$1:$G$1,0))</f>
        <v>15.85</v>
      </c>
      <c r="M216" s="5">
        <f t="shared" si="9"/>
        <v>31.7</v>
      </c>
      <c r="N216" t="str">
        <f t="shared" si="10"/>
        <v>Liberica</v>
      </c>
      <c r="O216" t="str">
        <f t="shared" si="11"/>
        <v>Light</v>
      </c>
      <c r="P216" t="str">
        <f>_xlfn.XLOOKUP(Table1[[#This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IF(_xlfn.XLOOKUP(C217,customers!$A$1:$A$1001,customers!C216:C1216,,0)=0,"",_xlfn.XLOOKUP(C217,customers!$A$1:$A$1001,customers!C216:C1216,,0))</f>
        <v>mkippenby@dion.ne.jp</v>
      </c>
      <c r="H217" s="2" t="str">
        <f>_xlfn.XLOOKUP(orders!C217,customers!$A$1:$A$1001,customers!$G$1:$G$1001,,0)</f>
        <v>United States</v>
      </c>
      <c r="I217" t="str">
        <f>INDEX(products!$A$1:$G$49,MATCH(orders!$D217, products!$A$1:$A$49,0), MATCH(orders!I$1,products!$A$1:$G$1,0))</f>
        <v>Lib</v>
      </c>
      <c r="J217" t="str">
        <f>INDEX(products!$A$1:$G$49,MATCH(orders!$D217, products!$A$1:$A$49,0), MATCH(orders!J$1,products!$A$1:$G$1,0))</f>
        <v>D</v>
      </c>
      <c r="K217" s="4">
        <f>INDEX(products!$A$1:$G$49,MATCH(orders!$D217, products!$A$1:$A$49,0), MATCH(orders!K$1,products!$A$1:$G$1,0))</f>
        <v>0.2</v>
      </c>
      <c r="L217" s="5">
        <f>INDEX(products!$A$1:$G$49,MATCH(orders!$D217, products!$A$1:$A$49,0), MATCH(orders!L$1,products!$A$1:$G$1,0))</f>
        <v>3.8849999999999998</v>
      </c>
      <c r="M217" s="5">
        <f t="shared" si="9"/>
        <v>23.31</v>
      </c>
      <c r="N217" t="str">
        <f t="shared" si="10"/>
        <v>Liberica</v>
      </c>
      <c r="O217" t="str">
        <f t="shared" si="11"/>
        <v>Dark</v>
      </c>
      <c r="P217" t="str">
        <f>_xlfn.XLOOKUP(Table1[[#This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IF(_xlfn.XLOOKUP(C218,customers!$A$1:$A$1001,customers!C217:C1217,,0)=0,"",_xlfn.XLOOKUP(C218,customers!$A$1:$A$1001,customers!C217:C1217,,0))</f>
        <v/>
      </c>
      <c r="H218" s="2" t="str">
        <f>_xlfn.XLOOKUP(orders!C218,customers!$A$1:$A$1001,customers!$G$1:$G$1001,,0)</f>
        <v>United States</v>
      </c>
      <c r="I218" t="str">
        <f>INDEX(products!$A$1:$G$49,MATCH(orders!$D218, products!$A$1:$A$49,0), MATCH(orders!I$1,products!$A$1:$G$1,0))</f>
        <v>Lib</v>
      </c>
      <c r="J218" t="str">
        <f>INDEX(products!$A$1:$G$49,MATCH(orders!$D218, products!$A$1:$A$49,0), MATCH(orders!J$1,products!$A$1:$G$1,0))</f>
        <v>M</v>
      </c>
      <c r="K218" s="4">
        <f>INDEX(products!$A$1:$G$49,MATCH(orders!$D218, products!$A$1:$A$49,0), MATCH(orders!K$1,products!$A$1:$G$1,0))</f>
        <v>1</v>
      </c>
      <c r="L218" s="5">
        <f>INDEX(products!$A$1:$G$49,MATCH(orders!$D218, products!$A$1:$A$49,0), MATCH(orders!L$1,products!$A$1:$G$1,0))</f>
        <v>14.55</v>
      </c>
      <c r="M218" s="5">
        <f t="shared" si="9"/>
        <v>58.2</v>
      </c>
      <c r="N218" t="str">
        <f t="shared" si="10"/>
        <v>Liberica</v>
      </c>
      <c r="O218" t="str">
        <f t="shared" si="11"/>
        <v>Medium</v>
      </c>
      <c r="P218" t="str">
        <f>_xlfn.XLOOKUP(Table1[[#This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IF(_xlfn.XLOOKUP(C219,customers!$A$1:$A$1001,customers!C218:C1218,,0)=0,"",_xlfn.XLOOKUP(C219,customers!$A$1:$A$1001,customers!C218:C1218,,0))</f>
        <v/>
      </c>
      <c r="H219" s="2" t="str">
        <f>_xlfn.XLOOKUP(orders!C219,customers!$A$1:$A$1001,customers!$G$1:$G$1001,,0)</f>
        <v>United States</v>
      </c>
      <c r="I219" t="str">
        <f>INDEX(products!$A$1:$G$49,MATCH(orders!$D219, products!$A$1:$A$49,0), MATCH(orders!I$1,products!$A$1:$G$1,0))</f>
        <v>Exc</v>
      </c>
      <c r="J219" t="str">
        <f>INDEX(products!$A$1:$G$49,MATCH(orders!$D219, products!$A$1:$A$49,0), MATCH(orders!J$1,products!$A$1:$G$1,0))</f>
        <v>L</v>
      </c>
      <c r="K219" s="4">
        <f>INDEX(products!$A$1:$G$49,MATCH(orders!$D219, products!$A$1:$A$49,0), MATCH(orders!K$1,products!$A$1:$G$1,0))</f>
        <v>0.5</v>
      </c>
      <c r="L219" s="5">
        <f>INDEX(products!$A$1:$G$49,MATCH(orders!$D219, products!$A$1:$A$49,0), MATCH(orders!L$1,products!$A$1:$G$1,0))</f>
        <v>8.91</v>
      </c>
      <c r="M219" s="5">
        <f t="shared" si="9"/>
        <v>35.64</v>
      </c>
      <c r="N219" t="str">
        <f t="shared" si="10"/>
        <v>Excelsa</v>
      </c>
      <c r="O219" t="str">
        <f t="shared" si="11"/>
        <v>Light</v>
      </c>
      <c r="P219" t="str">
        <f>_xlfn.XLOOKUP(Table1[[#This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IF(_xlfn.XLOOKUP(C220,customers!$A$1:$A$1001,customers!C219:C1219,,0)=0,"",_xlfn.XLOOKUP(C220,customers!$A$1:$A$1001,customers!C219:C1219,,0))</f>
        <v>orylandc4@deviantart.com</v>
      </c>
      <c r="H220" s="2" t="str">
        <f>_xlfn.XLOOKUP(orders!C220,customers!$A$1:$A$1001,customers!$G$1:$G$1001,,0)</f>
        <v>Ireland</v>
      </c>
      <c r="I220" t="str">
        <f>INDEX(products!$A$1:$G$49,MATCH(orders!$D220, products!$A$1:$A$49,0), MATCH(orders!I$1,products!$A$1:$G$1,0))</f>
        <v>Ara</v>
      </c>
      <c r="J220" t="str">
        <f>INDEX(products!$A$1:$G$49,MATCH(orders!$D220, products!$A$1:$A$49,0), MATCH(orders!J$1,products!$A$1:$G$1,0))</f>
        <v>M</v>
      </c>
      <c r="K220" s="4">
        <f>INDEX(products!$A$1:$G$49,MATCH(orders!$D220, products!$A$1:$A$49,0), MATCH(orders!K$1,products!$A$1:$G$1,0))</f>
        <v>1</v>
      </c>
      <c r="L220" s="5">
        <f>INDEX(products!$A$1:$G$49,MATCH(orders!$D220, products!$A$1:$A$49,0), MATCH(orders!L$1,products!$A$1:$G$1,0))</f>
        <v>11.25</v>
      </c>
      <c r="M220" s="5">
        <f t="shared" si="9"/>
        <v>56.25</v>
      </c>
      <c r="N220" t="str">
        <f t="shared" si="10"/>
        <v>Arabica</v>
      </c>
      <c r="O220" t="str">
        <f t="shared" si="11"/>
        <v>Medium</v>
      </c>
      <c r="P220" t="str">
        <f>_xlfn.XLOOKUP(Table1[[#This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IF(_xlfn.XLOOKUP(C221,customers!$A$1:$A$1001,customers!C220:C1220,,0)=0,"",_xlfn.XLOOKUP(C221,customers!$A$1:$A$1001,customers!C220:C1220,,0))</f>
        <v>blottringtonc6@redcross.org</v>
      </c>
      <c r="H221" s="2" t="str">
        <f>_xlfn.XLOOKUP(orders!C221,customers!$A$1:$A$1001,customers!$G$1:$G$1001,,0)</f>
        <v>United States</v>
      </c>
      <c r="I221" t="str">
        <f>INDEX(products!$A$1:$G$49,MATCH(orders!$D221, products!$A$1:$A$49,0), MATCH(orders!I$1,products!$A$1:$G$1,0))</f>
        <v>Rob</v>
      </c>
      <c r="J221" t="str">
        <f>INDEX(products!$A$1:$G$49,MATCH(orders!$D221, products!$A$1:$A$49,0), MATCH(orders!J$1,products!$A$1:$G$1,0))</f>
        <v>L</v>
      </c>
      <c r="K221" s="4">
        <f>INDEX(products!$A$1:$G$49,MATCH(orders!$D221, products!$A$1:$A$49,0), MATCH(orders!K$1,products!$A$1:$G$1,0))</f>
        <v>0.2</v>
      </c>
      <c r="L221" s="5">
        <f>INDEX(products!$A$1:$G$49,MATCH(orders!$D221, products!$A$1:$A$49,0), MATCH(orders!L$1,products!$A$1:$G$1,0))</f>
        <v>3.5849999999999995</v>
      </c>
      <c r="M221" s="5">
        <f t="shared" si="9"/>
        <v>10.754999999999999</v>
      </c>
      <c r="N221" t="str">
        <f t="shared" si="10"/>
        <v>Robusta</v>
      </c>
      <c r="O221" t="str">
        <f t="shared" si="11"/>
        <v>Light</v>
      </c>
      <c r="P221" t="str">
        <f>_xlfn.XLOOKUP(Table1[[#This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IF(_xlfn.XLOOKUP(C222,customers!$A$1:$A$1001,customers!C221:C1221,,0)=0,"",_xlfn.XLOOKUP(C222,customers!$A$1:$A$1001,customers!C221:C1221,,0))</f>
        <v>craglessc7@webmd.com</v>
      </c>
      <c r="H222" s="2" t="str">
        <f>_xlfn.XLOOKUP(orders!C222,customers!$A$1:$A$1001,customers!$G$1:$G$1001,,0)</f>
        <v>United States</v>
      </c>
      <c r="I222" t="str">
        <f>INDEX(products!$A$1:$G$49,MATCH(orders!$D222, products!$A$1:$A$49,0), MATCH(orders!I$1,products!$A$1:$G$1,0))</f>
        <v>Rob</v>
      </c>
      <c r="J222" t="str">
        <f>INDEX(products!$A$1:$G$49,MATCH(orders!$D222, products!$A$1:$A$49,0), MATCH(orders!J$1,products!$A$1:$G$1,0))</f>
        <v>M</v>
      </c>
      <c r="K222" s="4">
        <f>INDEX(products!$A$1:$G$49,MATCH(orders!$D222, products!$A$1:$A$49,0), MATCH(orders!K$1,products!$A$1:$G$1,0))</f>
        <v>0.2</v>
      </c>
      <c r="L222" s="5">
        <f>INDEX(products!$A$1:$G$49,MATCH(orders!$D222, products!$A$1:$A$49,0), MATCH(orders!L$1,products!$A$1:$G$1,0))</f>
        <v>2.9849999999999999</v>
      </c>
      <c r="M222" s="5">
        <f t="shared" si="9"/>
        <v>14.924999999999999</v>
      </c>
      <c r="N222" t="str">
        <f t="shared" si="10"/>
        <v>Robusta</v>
      </c>
      <c r="O222" t="str">
        <f t="shared" si="11"/>
        <v>Medium</v>
      </c>
      <c r="P222" t="str">
        <f>_xlfn.XLOOKUP(Table1[[#This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IF(_xlfn.XLOOKUP(C223,customers!$A$1:$A$1001,customers!C222:C1222,,0)=0,"",_xlfn.XLOOKUP(C223,customers!$A$1:$A$1001,customers!C222:C1222,,0))</f>
        <v>kheadsca@jalbum.net</v>
      </c>
      <c r="H223" s="2" t="str">
        <f>_xlfn.XLOOKUP(orders!C223,customers!$A$1:$A$1001,customers!$G$1:$G$1001,,0)</f>
        <v>United States</v>
      </c>
      <c r="I223" t="str">
        <f>INDEX(products!$A$1:$G$49,MATCH(orders!$D223, products!$A$1:$A$49,0), MATCH(orders!I$1,products!$A$1:$G$1,0))</f>
        <v>Ara</v>
      </c>
      <c r="J223" t="str">
        <f>INDEX(products!$A$1:$G$49,MATCH(orders!$D223, products!$A$1:$A$49,0), MATCH(orders!J$1,products!$A$1:$G$1,0))</f>
        <v>L</v>
      </c>
      <c r="K223" s="4">
        <f>INDEX(products!$A$1:$G$49,MATCH(orders!$D223, products!$A$1:$A$49,0), MATCH(orders!K$1,products!$A$1:$G$1,0))</f>
        <v>1</v>
      </c>
      <c r="L223" s="5">
        <f>INDEX(products!$A$1:$G$49,MATCH(orders!$D223, products!$A$1:$A$49,0), MATCH(orders!L$1,products!$A$1:$G$1,0))</f>
        <v>12.95</v>
      </c>
      <c r="M223" s="5">
        <f t="shared" si="9"/>
        <v>77.699999999999989</v>
      </c>
      <c r="N223" t="str">
        <f t="shared" si="10"/>
        <v>Arabica</v>
      </c>
      <c r="O223" t="str">
        <f t="shared" si="11"/>
        <v>Light</v>
      </c>
      <c r="P223" t="str">
        <f>_xlfn.XLOOKUP(Table1[[#This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IF(_xlfn.XLOOKUP(C224,customers!$A$1:$A$1001,customers!C223:C1223,,0)=0,"",_xlfn.XLOOKUP(C224,customers!$A$1:$A$1001,customers!C223:C1223,,0))</f>
        <v>rjacquemardcc@acquirethisname.com</v>
      </c>
      <c r="H224" s="2" t="str">
        <f>_xlfn.XLOOKUP(orders!C224,customers!$A$1:$A$1001,customers!$G$1:$G$1001,,0)</f>
        <v>United States</v>
      </c>
      <c r="I224" t="str">
        <f>INDEX(products!$A$1:$G$49,MATCH(orders!$D224, products!$A$1:$A$49,0), MATCH(orders!I$1,products!$A$1:$G$1,0))</f>
        <v>Lib</v>
      </c>
      <c r="J224" t="str">
        <f>INDEX(products!$A$1:$G$49,MATCH(orders!$D224, products!$A$1:$A$49,0), MATCH(orders!J$1,products!$A$1:$G$1,0))</f>
        <v>D</v>
      </c>
      <c r="K224" s="4">
        <f>INDEX(products!$A$1:$G$49,MATCH(orders!$D224, products!$A$1:$A$49,0), MATCH(orders!K$1,products!$A$1:$G$1,0))</f>
        <v>0.5</v>
      </c>
      <c r="L224" s="5">
        <f>INDEX(products!$A$1:$G$49,MATCH(orders!$D224, products!$A$1:$A$49,0), MATCH(orders!L$1,products!$A$1:$G$1,0))</f>
        <v>7.77</v>
      </c>
      <c r="M224" s="5">
        <f t="shared" si="9"/>
        <v>23.31</v>
      </c>
      <c r="N224" t="str">
        <f t="shared" si="10"/>
        <v>Liberica</v>
      </c>
      <c r="O224" t="str">
        <f t="shared" si="11"/>
        <v>Dark</v>
      </c>
      <c r="P224" t="str">
        <f>_xlfn.XLOOKUP(Table1[[#This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IF(_xlfn.XLOOKUP(C225,customers!$A$1:$A$1001,customers!C224:C1224,,0)=0,"",_xlfn.XLOOKUP(C225,customers!$A$1:$A$1001,customers!C224:C1224,,0))</f>
        <v>wcholomince@about.com</v>
      </c>
      <c r="H225" s="2" t="str">
        <f>_xlfn.XLOOKUP(orders!C225,customers!$A$1:$A$1001,customers!$G$1:$G$1001,,0)</f>
        <v>United States</v>
      </c>
      <c r="I225" t="str">
        <f>INDEX(products!$A$1:$G$49,MATCH(orders!$D225, products!$A$1:$A$49,0), MATCH(orders!I$1,products!$A$1:$G$1,0))</f>
        <v>Exc</v>
      </c>
      <c r="J225" t="str">
        <f>INDEX(products!$A$1:$G$49,MATCH(orders!$D225, products!$A$1:$A$49,0), MATCH(orders!J$1,products!$A$1:$G$1,0))</f>
        <v>L</v>
      </c>
      <c r="K225" s="4">
        <f>INDEX(products!$A$1:$G$49,MATCH(orders!$D225, products!$A$1:$A$49,0), MATCH(orders!K$1,products!$A$1:$G$1,0))</f>
        <v>1</v>
      </c>
      <c r="L225" s="5">
        <f>INDEX(products!$A$1:$G$49,MATCH(orders!$D225, products!$A$1:$A$49,0), MATCH(orders!L$1,products!$A$1:$G$1,0))</f>
        <v>14.85</v>
      </c>
      <c r="M225" s="5">
        <f t="shared" si="9"/>
        <v>59.4</v>
      </c>
      <c r="N225" t="str">
        <f t="shared" si="10"/>
        <v>Excelsa</v>
      </c>
      <c r="O225" t="str">
        <f t="shared" si="11"/>
        <v>Light</v>
      </c>
      <c r="P225" t="str">
        <f>_xlfn.XLOOKUP(Table1[[#This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IF(_xlfn.XLOOKUP(C226,customers!$A$1:$A$1001,customers!C225:C1225,,0)=0,"",_xlfn.XLOOKUP(C226,customers!$A$1:$A$1001,customers!C225:C1225,,0))</f>
        <v>pdurbancg@symantec.com</v>
      </c>
      <c r="H226" s="2" t="str">
        <f>_xlfn.XLOOKUP(orders!C226,customers!$A$1:$A$1001,customers!$G$1:$G$1001,,0)</f>
        <v>United States</v>
      </c>
      <c r="I226" t="str">
        <f>INDEX(products!$A$1:$G$49,MATCH(orders!$D226, products!$A$1:$A$49,0), MATCH(orders!I$1,products!$A$1:$G$1,0))</f>
        <v>Lib</v>
      </c>
      <c r="J226" t="str">
        <f>INDEX(products!$A$1:$G$49,MATCH(orders!$D226, products!$A$1:$A$49,0), MATCH(orders!J$1,products!$A$1:$G$1,0))</f>
        <v>D</v>
      </c>
      <c r="K226" s="4">
        <f>INDEX(products!$A$1:$G$49,MATCH(orders!$D226, products!$A$1:$A$49,0), MATCH(orders!K$1,products!$A$1:$G$1,0))</f>
        <v>2.5</v>
      </c>
      <c r="L226" s="5">
        <f>INDEX(products!$A$1:$G$49,MATCH(orders!$D226, products!$A$1:$A$49,0), MATCH(orders!L$1,products!$A$1:$G$1,0))</f>
        <v>29.784999999999997</v>
      </c>
      <c r="M226" s="5">
        <f t="shared" si="9"/>
        <v>119.13999999999999</v>
      </c>
      <c r="N226" t="str">
        <f t="shared" si="10"/>
        <v>Liberica</v>
      </c>
      <c r="O226" t="str">
        <f t="shared" si="11"/>
        <v>Dark</v>
      </c>
      <c r="P226" t="str">
        <f>_xlfn.XLOOKUP(Table1[[#This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IF(_xlfn.XLOOKUP(C227,customers!$A$1:$A$1001,customers!C226:C1226,,0)=0,"",_xlfn.XLOOKUP(C227,customers!$A$1:$A$1001,customers!C226:C1226,,0))</f>
        <v>spamphilonci@mlb.com</v>
      </c>
      <c r="H227" s="2" t="str">
        <f>_xlfn.XLOOKUP(orders!C227,customers!$A$1:$A$1001,customers!$G$1:$G$1001,,0)</f>
        <v>Ireland</v>
      </c>
      <c r="I227" t="str">
        <f>INDEX(products!$A$1:$G$49,MATCH(orders!$D227, products!$A$1:$A$49,0), MATCH(orders!I$1,products!$A$1:$G$1,0))</f>
        <v>Rob</v>
      </c>
      <c r="J227" t="str">
        <f>INDEX(products!$A$1:$G$49,MATCH(orders!$D227, products!$A$1:$A$49,0), MATCH(orders!J$1,products!$A$1:$G$1,0))</f>
        <v>L</v>
      </c>
      <c r="K227" s="4">
        <f>INDEX(products!$A$1:$G$49,MATCH(orders!$D227, products!$A$1:$A$49,0), MATCH(orders!K$1,products!$A$1:$G$1,0))</f>
        <v>0.2</v>
      </c>
      <c r="L227" s="5">
        <f>INDEX(products!$A$1:$G$49,MATCH(orders!$D227, products!$A$1:$A$49,0), MATCH(orders!L$1,products!$A$1:$G$1,0))</f>
        <v>3.5849999999999995</v>
      </c>
      <c r="M227" s="5">
        <f t="shared" si="9"/>
        <v>14.339999999999998</v>
      </c>
      <c r="N227" t="str">
        <f t="shared" si="10"/>
        <v>Robusta</v>
      </c>
      <c r="O227" t="str">
        <f t="shared" si="11"/>
        <v>Light</v>
      </c>
      <c r="P227" t="str">
        <f>_xlfn.XLOOKUP(Table1[[#This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IF(_xlfn.XLOOKUP(C228,customers!$A$1:$A$1001,customers!C227:C1227,,0)=0,"",_xlfn.XLOOKUP(C228,customers!$A$1:$A$1001,customers!C227:C1227,,0))</f>
        <v>msesonck@census.gov</v>
      </c>
      <c r="H228" s="2" t="str">
        <f>_xlfn.XLOOKUP(orders!C228,customers!$A$1:$A$1001,customers!$G$1:$G$1001,,0)</f>
        <v>United States</v>
      </c>
      <c r="I228" t="str">
        <f>INDEX(products!$A$1:$G$49,MATCH(orders!$D228, products!$A$1:$A$49,0), MATCH(orders!I$1,products!$A$1:$G$1,0))</f>
        <v>Ara</v>
      </c>
      <c r="J228" t="str">
        <f>INDEX(products!$A$1:$G$49,MATCH(orders!$D228, products!$A$1:$A$49,0), MATCH(orders!J$1,products!$A$1:$G$1,0))</f>
        <v>M</v>
      </c>
      <c r="K228" s="4">
        <f>INDEX(products!$A$1:$G$49,MATCH(orders!$D228, products!$A$1:$A$49,0), MATCH(orders!K$1,products!$A$1:$G$1,0))</f>
        <v>2.5</v>
      </c>
      <c r="L228" s="5">
        <f>INDEX(products!$A$1:$G$49,MATCH(orders!$D228, products!$A$1:$A$49,0), MATCH(orders!L$1,products!$A$1:$G$1,0))</f>
        <v>25.874999999999996</v>
      </c>
      <c r="M228" s="5">
        <f t="shared" si="9"/>
        <v>129.37499999999997</v>
      </c>
      <c r="N228" t="str">
        <f t="shared" si="10"/>
        <v>Arabica</v>
      </c>
      <c r="O228" t="str">
        <f t="shared" si="11"/>
        <v>Medium</v>
      </c>
      <c r="P228" t="str">
        <f>_xlfn.XLOOKUP(Table1[[#This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IF(_xlfn.XLOOKUP(C229,customers!$A$1:$A$1001,customers!C228:C1228,,0)=0,"",_xlfn.XLOOKUP(C229,customers!$A$1:$A$1001,customers!C228:C1228,,0))</f>
        <v>rcawleycm@yellowbook.com</v>
      </c>
      <c r="H229" s="2" t="str">
        <f>_xlfn.XLOOKUP(orders!C229,customers!$A$1:$A$1001,customers!$G$1:$G$1001,,0)</f>
        <v>United Kingdom</v>
      </c>
      <c r="I229" t="str">
        <f>INDEX(products!$A$1:$G$49,MATCH(orders!$D229, products!$A$1:$A$49,0), MATCH(orders!I$1,products!$A$1:$G$1,0))</f>
        <v>Rob</v>
      </c>
      <c r="J229" t="str">
        <f>INDEX(products!$A$1:$G$49,MATCH(orders!$D229, products!$A$1:$A$49,0), MATCH(orders!J$1,products!$A$1:$G$1,0))</f>
        <v>D</v>
      </c>
      <c r="K229" s="4">
        <f>INDEX(products!$A$1:$G$49,MATCH(orders!$D229, products!$A$1:$A$49,0), MATCH(orders!K$1,products!$A$1:$G$1,0))</f>
        <v>0.2</v>
      </c>
      <c r="L229" s="5">
        <f>INDEX(products!$A$1:$G$49,MATCH(orders!$D229, products!$A$1:$A$49,0), MATCH(orders!L$1,products!$A$1:$G$1,0))</f>
        <v>2.6849999999999996</v>
      </c>
      <c r="M229" s="5">
        <f t="shared" si="9"/>
        <v>16.11</v>
      </c>
      <c r="N229" t="str">
        <f t="shared" si="10"/>
        <v>Robusta</v>
      </c>
      <c r="O229" t="str">
        <f t="shared" si="11"/>
        <v>Dark</v>
      </c>
      <c r="P229" t="str">
        <f>_xlfn.XLOOKUP(Table1[[#This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IF(_xlfn.XLOOKUP(C230,customers!$A$1:$A$1001,customers!C229:C1229,,0)=0,"",_xlfn.XLOOKUP(C230,customers!$A$1:$A$1001,customers!C229:C1229,,0))</f>
        <v>aadamidesco@bizjournals.com</v>
      </c>
      <c r="H230" s="2" t="str">
        <f>_xlfn.XLOOKUP(orders!C230,customers!$A$1:$A$1001,customers!$G$1:$G$1001,,0)</f>
        <v>United States</v>
      </c>
      <c r="I230" t="str">
        <f>INDEX(products!$A$1:$G$49,MATCH(orders!$D230, products!$A$1:$A$49,0), MATCH(orders!I$1,products!$A$1:$G$1,0))</f>
        <v>Rob</v>
      </c>
      <c r="J230" t="str">
        <f>INDEX(products!$A$1:$G$49,MATCH(orders!$D230, products!$A$1:$A$49,0), MATCH(orders!J$1,products!$A$1:$G$1,0))</f>
        <v>L</v>
      </c>
      <c r="K230" s="4">
        <f>INDEX(products!$A$1:$G$49,MATCH(orders!$D230, products!$A$1:$A$49,0), MATCH(orders!K$1,products!$A$1:$G$1,0))</f>
        <v>0.2</v>
      </c>
      <c r="L230" s="5">
        <f>INDEX(products!$A$1:$G$49,MATCH(orders!$D230, products!$A$1:$A$49,0), MATCH(orders!L$1,products!$A$1:$G$1,0))</f>
        <v>3.5849999999999995</v>
      </c>
      <c r="M230" s="5">
        <f t="shared" si="9"/>
        <v>17.924999999999997</v>
      </c>
      <c r="N230" t="str">
        <f t="shared" si="10"/>
        <v>Robusta</v>
      </c>
      <c r="O230" t="str">
        <f t="shared" si="11"/>
        <v>Light</v>
      </c>
      <c r="P230" t="str">
        <f>_xlfn.XLOOKUP(Table1[[#This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IF(_xlfn.XLOOKUP(C231,customers!$A$1:$A$1001,customers!C230:C1230,,0)=0,"",_xlfn.XLOOKUP(C231,customers!$A$1:$A$1001,customers!C230:C1230,,0))</f>
        <v>rwillowaycq@admin.ch</v>
      </c>
      <c r="H231" s="2" t="str">
        <f>_xlfn.XLOOKUP(orders!C231,customers!$A$1:$A$1001,customers!$G$1:$G$1001,,0)</f>
        <v>United States</v>
      </c>
      <c r="I231" t="str">
        <f>INDEX(products!$A$1:$G$49,MATCH(orders!$D231, products!$A$1:$A$49,0), MATCH(orders!I$1,products!$A$1:$G$1,0))</f>
        <v>Lib</v>
      </c>
      <c r="J231" t="str">
        <f>INDEX(products!$A$1:$G$49,MATCH(orders!$D231, products!$A$1:$A$49,0), MATCH(orders!J$1,products!$A$1:$G$1,0))</f>
        <v>M</v>
      </c>
      <c r="K231" s="4">
        <f>INDEX(products!$A$1:$G$49,MATCH(orders!$D231, products!$A$1:$A$49,0), MATCH(orders!K$1,products!$A$1:$G$1,0))</f>
        <v>0.2</v>
      </c>
      <c r="L231" s="5">
        <f>INDEX(products!$A$1:$G$49,MATCH(orders!$D231, products!$A$1:$A$49,0), MATCH(orders!L$1,products!$A$1:$G$1,0))</f>
        <v>4.3650000000000002</v>
      </c>
      <c r="M231" s="5">
        <f t="shared" si="9"/>
        <v>8.73</v>
      </c>
      <c r="N231" t="str">
        <f t="shared" si="10"/>
        <v>Liberica</v>
      </c>
      <c r="O231" t="str">
        <f t="shared" si="11"/>
        <v>Medium</v>
      </c>
      <c r="P231" t="str">
        <f>_xlfn.XLOOKUP(Table1[[#This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IF(_xlfn.XLOOKUP(C232,customers!$A$1:$A$1001,customers!C231:C1231,,0)=0,"",_xlfn.XLOOKUP(C232,customers!$A$1:$A$1001,customers!C231:C1231,,0))</f>
        <v>abilbrookcs@booking.com</v>
      </c>
      <c r="H232" s="2" t="str">
        <f>_xlfn.XLOOKUP(orders!C232,customers!$A$1:$A$1001,customers!$G$1:$G$1001,,0)</f>
        <v>United States</v>
      </c>
      <c r="I232" t="str">
        <f>INDEX(products!$A$1:$G$49,MATCH(orders!$D232, products!$A$1:$A$49,0), MATCH(orders!I$1,products!$A$1:$G$1,0))</f>
        <v>Ara</v>
      </c>
      <c r="J232" t="str">
        <f>INDEX(products!$A$1:$G$49,MATCH(orders!$D232, products!$A$1:$A$49,0), MATCH(orders!J$1,products!$A$1:$G$1,0))</f>
        <v>M</v>
      </c>
      <c r="K232" s="4">
        <f>INDEX(products!$A$1:$G$49,MATCH(orders!$D232, products!$A$1:$A$49,0), MATCH(orders!K$1,products!$A$1:$G$1,0))</f>
        <v>2.5</v>
      </c>
      <c r="L232" s="5">
        <f>INDEX(products!$A$1:$G$49,MATCH(orders!$D232, products!$A$1:$A$49,0), MATCH(orders!L$1,products!$A$1:$G$1,0))</f>
        <v>25.874999999999996</v>
      </c>
      <c r="M232" s="5">
        <f t="shared" si="9"/>
        <v>51.749999999999993</v>
      </c>
      <c r="N232" t="str">
        <f t="shared" si="10"/>
        <v>Arabica</v>
      </c>
      <c r="O232" t="str">
        <f t="shared" si="11"/>
        <v>Medium</v>
      </c>
      <c r="P232" t="str">
        <f>_xlfn.XLOOKUP(Table1[[#This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IF(_xlfn.XLOOKUP(C233,customers!$A$1:$A$1001,customers!C232:C1232,,0)=0,"",_xlfn.XLOOKUP(C233,customers!$A$1:$A$1001,customers!C232:C1232,,0))</f>
        <v>bdailecu@vistaprint.com</v>
      </c>
      <c r="H233" s="2" t="str">
        <f>_xlfn.XLOOKUP(orders!C233,customers!$A$1:$A$1001,customers!$G$1:$G$1001,,0)</f>
        <v>United States</v>
      </c>
      <c r="I233" t="str">
        <f>INDEX(products!$A$1:$G$49,MATCH(orders!$D233, products!$A$1:$A$49,0), MATCH(orders!I$1,products!$A$1:$G$1,0))</f>
        <v>Lib</v>
      </c>
      <c r="J233" t="str">
        <f>INDEX(products!$A$1:$G$49,MATCH(orders!$D233, products!$A$1:$A$49,0), MATCH(orders!J$1,products!$A$1:$G$1,0))</f>
        <v>M</v>
      </c>
      <c r="K233" s="4">
        <f>INDEX(products!$A$1:$G$49,MATCH(orders!$D233, products!$A$1:$A$49,0), MATCH(orders!K$1,products!$A$1:$G$1,0))</f>
        <v>0.2</v>
      </c>
      <c r="L233" s="5">
        <f>INDEX(products!$A$1:$G$49,MATCH(orders!$D233, products!$A$1:$A$49,0), MATCH(orders!L$1,products!$A$1:$G$1,0))</f>
        <v>4.3650000000000002</v>
      </c>
      <c r="M233" s="5">
        <f t="shared" si="9"/>
        <v>8.73</v>
      </c>
      <c r="N233" t="str">
        <f t="shared" si="10"/>
        <v>Liberica</v>
      </c>
      <c r="O233" t="str">
        <f t="shared" si="11"/>
        <v>Medium</v>
      </c>
      <c r="P233" t="str">
        <f>_xlfn.XLOOKUP(Table1[[#This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IF(_xlfn.XLOOKUP(C234,customers!$A$1:$A$1001,customers!C233:C1233,,0)=0,"",_xlfn.XLOOKUP(C234,customers!$A$1:$A$1001,customers!C233:C1233,,0))</f>
        <v>abrentnallcw@biglobe.ne.jp</v>
      </c>
      <c r="H234" s="2" t="str">
        <f>_xlfn.XLOOKUP(orders!C234,customers!$A$1:$A$1001,customers!$G$1:$G$1001,,0)</f>
        <v>United Kingdom</v>
      </c>
      <c r="I234" t="str">
        <f>INDEX(products!$A$1:$G$49,MATCH(orders!$D234, products!$A$1:$A$49,0), MATCH(orders!I$1,products!$A$1:$G$1,0))</f>
        <v>Lib</v>
      </c>
      <c r="J234" t="str">
        <f>INDEX(products!$A$1:$G$49,MATCH(orders!$D234, products!$A$1:$A$49,0), MATCH(orders!J$1,products!$A$1:$G$1,0))</f>
        <v>L</v>
      </c>
      <c r="K234" s="4">
        <f>INDEX(products!$A$1:$G$49,MATCH(orders!$D234, products!$A$1:$A$49,0), MATCH(orders!K$1,products!$A$1:$G$1,0))</f>
        <v>0.2</v>
      </c>
      <c r="L234" s="5">
        <f>INDEX(products!$A$1:$G$49,MATCH(orders!$D234, products!$A$1:$A$49,0), MATCH(orders!L$1,products!$A$1:$G$1,0))</f>
        <v>4.7549999999999999</v>
      </c>
      <c r="M234" s="5">
        <f t="shared" si="9"/>
        <v>23.774999999999999</v>
      </c>
      <c r="N234" t="str">
        <f t="shared" si="10"/>
        <v>Liberica</v>
      </c>
      <c r="O234" t="str">
        <f t="shared" si="11"/>
        <v>Light</v>
      </c>
      <c r="P234" t="str">
        <f>_xlfn.XLOOKUP(Table1[[#This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IF(_xlfn.XLOOKUP(C235,customers!$A$1:$A$1001,customers!C234:C1234,,0)=0,"",_xlfn.XLOOKUP(C235,customers!$A$1:$A$1001,customers!C234:C1234,,0))</f>
        <v>dkornelcy@cyberchimps.com</v>
      </c>
      <c r="H235" s="2" t="str">
        <f>_xlfn.XLOOKUP(orders!C235,customers!$A$1:$A$1001,customers!$G$1:$G$1001,,0)</f>
        <v>United States</v>
      </c>
      <c r="I235" t="str">
        <f>INDEX(products!$A$1:$G$49,MATCH(orders!$D235, products!$A$1:$A$49,0), MATCH(orders!I$1,products!$A$1:$G$1,0))</f>
        <v>Exc</v>
      </c>
      <c r="J235" t="str">
        <f>INDEX(products!$A$1:$G$49,MATCH(orders!$D235, products!$A$1:$A$49,0), MATCH(orders!J$1,products!$A$1:$G$1,0))</f>
        <v>M</v>
      </c>
      <c r="K235" s="4">
        <f>INDEX(products!$A$1:$G$49,MATCH(orders!$D235, products!$A$1:$A$49,0), MATCH(orders!K$1,products!$A$1:$G$1,0))</f>
        <v>0.2</v>
      </c>
      <c r="L235" s="5">
        <f>INDEX(products!$A$1:$G$49,MATCH(orders!$D235, products!$A$1:$A$49,0), MATCH(orders!L$1,products!$A$1:$G$1,0))</f>
        <v>4.125</v>
      </c>
      <c r="M235" s="5">
        <f t="shared" si="9"/>
        <v>20.625</v>
      </c>
      <c r="N235" t="str">
        <f t="shared" si="10"/>
        <v>Excelsa</v>
      </c>
      <c r="O235" t="str">
        <f t="shared" si="11"/>
        <v>Medium</v>
      </c>
      <c r="P235" t="str">
        <f>_xlfn.XLOOKUP(Table1[[#This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IF(_xlfn.XLOOKUP(C236,customers!$A$1:$A$1001,customers!C235:C1235,,0)=0,"",_xlfn.XLOOKUP(C236,customers!$A$1:$A$1001,customers!C235:C1235,,0))</f>
        <v>jmccaulld0@parallels.com</v>
      </c>
      <c r="H236" s="2" t="str">
        <f>_xlfn.XLOOKUP(orders!C236,customers!$A$1:$A$1001,customers!$G$1:$G$1001,,0)</f>
        <v>United States</v>
      </c>
      <c r="I236" t="str">
        <f>INDEX(products!$A$1:$G$49,MATCH(orders!$D236, products!$A$1:$A$49,0), MATCH(orders!I$1,products!$A$1:$G$1,0))</f>
        <v>Lib</v>
      </c>
      <c r="J236" t="str">
        <f>INDEX(products!$A$1:$G$49,MATCH(orders!$D236, products!$A$1:$A$49,0), MATCH(orders!J$1,products!$A$1:$G$1,0))</f>
        <v>L</v>
      </c>
      <c r="K236" s="4">
        <f>INDEX(products!$A$1:$G$49,MATCH(orders!$D236, products!$A$1:$A$49,0), MATCH(orders!K$1,products!$A$1:$G$1,0))</f>
        <v>2.5</v>
      </c>
      <c r="L236" s="5">
        <f>INDEX(products!$A$1:$G$49,MATCH(orders!$D236, products!$A$1:$A$49,0), MATCH(orders!L$1,products!$A$1:$G$1,0))</f>
        <v>36.454999999999998</v>
      </c>
      <c r="M236" s="5">
        <f t="shared" si="9"/>
        <v>36.454999999999998</v>
      </c>
      <c r="N236" t="str">
        <f t="shared" si="10"/>
        <v>Liberica</v>
      </c>
      <c r="O236" t="str">
        <f t="shared" si="11"/>
        <v>Light</v>
      </c>
      <c r="P236" t="str">
        <f>_xlfn.XLOOKUP(Table1[[#This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IF(_xlfn.XLOOKUP(C237,customers!$A$1:$A$1001,customers!C236:C1236,,0)=0,"",_xlfn.XLOOKUP(C237,customers!$A$1:$A$1001,customers!C236:C1236,,0))</f>
        <v>ahutchinsond2@imgur.com</v>
      </c>
      <c r="H237" s="2" t="str">
        <f>_xlfn.XLOOKUP(orders!C237,customers!$A$1:$A$1001,customers!$G$1:$G$1001,,0)</f>
        <v>Ireland</v>
      </c>
      <c r="I237" t="str">
        <f>INDEX(products!$A$1:$G$49,MATCH(orders!$D237, products!$A$1:$A$49,0), MATCH(orders!I$1,products!$A$1:$G$1,0))</f>
        <v>Lib</v>
      </c>
      <c r="J237" t="str">
        <f>INDEX(products!$A$1:$G$49,MATCH(orders!$D237, products!$A$1:$A$49,0), MATCH(orders!J$1,products!$A$1:$G$1,0))</f>
        <v>L</v>
      </c>
      <c r="K237" s="4">
        <f>INDEX(products!$A$1:$G$49,MATCH(orders!$D237, products!$A$1:$A$49,0), MATCH(orders!K$1,products!$A$1:$G$1,0))</f>
        <v>2.5</v>
      </c>
      <c r="L237" s="5">
        <f>INDEX(products!$A$1:$G$49,MATCH(orders!$D237, products!$A$1:$A$49,0), MATCH(orders!L$1,products!$A$1:$G$1,0))</f>
        <v>36.454999999999998</v>
      </c>
      <c r="M237" s="5">
        <f t="shared" si="9"/>
        <v>182.27499999999998</v>
      </c>
      <c r="N237" t="str">
        <f t="shared" si="10"/>
        <v>Liberica</v>
      </c>
      <c r="O237" t="str">
        <f t="shared" si="11"/>
        <v>Light</v>
      </c>
      <c r="P237" t="str">
        <f>_xlfn.XLOOKUP(Table1[[#This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IF(_xlfn.XLOOKUP(C238,customers!$A$1:$A$1001,customers!C237:C1237,,0)=0,"",_xlfn.XLOOKUP(C238,customers!$A$1:$A$1001,customers!C237:C1237,,0))</f>
        <v>rdriversd4@hexun.com</v>
      </c>
      <c r="H238" s="2" t="str">
        <f>_xlfn.XLOOKUP(orders!C238,customers!$A$1:$A$1001,customers!$G$1:$G$1001,,0)</f>
        <v>Ireland</v>
      </c>
      <c r="I238" t="str">
        <f>INDEX(products!$A$1:$G$49,MATCH(orders!$D238, products!$A$1:$A$49,0), MATCH(orders!I$1,products!$A$1:$G$1,0))</f>
        <v>Lib</v>
      </c>
      <c r="J238" t="str">
        <f>INDEX(products!$A$1:$G$49,MATCH(orders!$D238, products!$A$1:$A$49,0), MATCH(orders!J$1,products!$A$1:$G$1,0))</f>
        <v>D</v>
      </c>
      <c r="K238" s="4">
        <f>INDEX(products!$A$1:$G$49,MATCH(orders!$D238, products!$A$1:$A$49,0), MATCH(orders!K$1,products!$A$1:$G$1,0))</f>
        <v>2.5</v>
      </c>
      <c r="L238" s="5">
        <f>INDEX(products!$A$1:$G$49,MATCH(orders!$D238, products!$A$1:$A$49,0), MATCH(orders!L$1,products!$A$1:$G$1,0))</f>
        <v>29.784999999999997</v>
      </c>
      <c r="M238" s="5">
        <f t="shared" si="9"/>
        <v>89.35499999999999</v>
      </c>
      <c r="N238" t="str">
        <f t="shared" si="10"/>
        <v>Liberica</v>
      </c>
      <c r="O238" t="str">
        <f t="shared" si="11"/>
        <v>Dark</v>
      </c>
      <c r="P238" t="str">
        <f>_xlfn.XLOOKUP(Table1[[#This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IF(_xlfn.XLOOKUP(C239,customers!$A$1:$A$1001,customers!C238:C1238,,0)=0,"",_xlfn.XLOOKUP(C239,customers!$A$1:$A$1001,customers!C238:C1238,,0))</f>
        <v>gsmallcombed6@ucla.edu</v>
      </c>
      <c r="H239" s="2" t="str">
        <f>_xlfn.XLOOKUP(orders!C239,customers!$A$1:$A$1001,customers!$G$1:$G$1001,,0)</f>
        <v>United States</v>
      </c>
      <c r="I239" t="str">
        <f>INDEX(products!$A$1:$G$49,MATCH(orders!$D239, products!$A$1:$A$49,0), MATCH(orders!I$1,products!$A$1:$G$1,0))</f>
        <v>Rob</v>
      </c>
      <c r="J239" t="str">
        <f>INDEX(products!$A$1:$G$49,MATCH(orders!$D239, products!$A$1:$A$49,0), MATCH(orders!J$1,products!$A$1:$G$1,0))</f>
        <v>L</v>
      </c>
      <c r="K239" s="4">
        <f>INDEX(products!$A$1:$G$49,MATCH(orders!$D239, products!$A$1:$A$49,0), MATCH(orders!K$1,products!$A$1:$G$1,0))</f>
        <v>0.2</v>
      </c>
      <c r="L239" s="5">
        <f>INDEX(products!$A$1:$G$49,MATCH(orders!$D239, products!$A$1:$A$49,0), MATCH(orders!L$1,products!$A$1:$G$1,0))</f>
        <v>3.5849999999999995</v>
      </c>
      <c r="M239" s="5">
        <f t="shared" si="9"/>
        <v>3.5849999999999995</v>
      </c>
      <c r="N239" t="str">
        <f t="shared" si="10"/>
        <v>Robusta</v>
      </c>
      <c r="O239" t="str">
        <f t="shared" si="11"/>
        <v>Light</v>
      </c>
      <c r="P239" t="str">
        <f>_xlfn.XLOOKUP(Table1[[#This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IF(_xlfn.XLOOKUP(C240,customers!$A$1:$A$1001,customers!C239:C1239,,0)=0,"",_xlfn.XLOOKUP(C240,customers!$A$1:$A$1001,customers!C239:C1239,,0))</f>
        <v>gdimitrioud8@chronoengine.com</v>
      </c>
      <c r="H240" s="2" t="str">
        <f>_xlfn.XLOOKUP(orders!C240,customers!$A$1:$A$1001,customers!$G$1:$G$1001,,0)</f>
        <v>United States</v>
      </c>
      <c r="I240" t="str">
        <f>INDEX(products!$A$1:$G$49,MATCH(orders!$D240, products!$A$1:$A$49,0), MATCH(orders!I$1,products!$A$1:$G$1,0))</f>
        <v>Rob</v>
      </c>
      <c r="J240" t="str">
        <f>INDEX(products!$A$1:$G$49,MATCH(orders!$D240, products!$A$1:$A$49,0), MATCH(orders!J$1,products!$A$1:$G$1,0))</f>
        <v>M</v>
      </c>
      <c r="K240" s="4">
        <f>INDEX(products!$A$1:$G$49,MATCH(orders!$D240, products!$A$1:$A$49,0), MATCH(orders!K$1,products!$A$1:$G$1,0))</f>
        <v>2.5</v>
      </c>
      <c r="L240" s="5">
        <f>INDEX(products!$A$1:$G$49,MATCH(orders!$D240, products!$A$1:$A$49,0), MATCH(orders!L$1,products!$A$1:$G$1,0))</f>
        <v>22.884999999999998</v>
      </c>
      <c r="M240" s="5">
        <f t="shared" si="9"/>
        <v>45.769999999999996</v>
      </c>
      <c r="N240" t="str">
        <f t="shared" si="10"/>
        <v>Robusta</v>
      </c>
      <c r="O240" t="str">
        <f t="shared" si="11"/>
        <v>Medium</v>
      </c>
      <c r="P240" t="str">
        <f>_xlfn.XLOOKUP(Table1[[#This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IF(_xlfn.XLOOKUP(C241,customers!$A$1:$A$1001,customers!C240:C1240,,0)=0,"",_xlfn.XLOOKUP(C241,customers!$A$1:$A$1001,customers!C240:C1240,,0))</f>
        <v>abrashda@plala.or.jp</v>
      </c>
      <c r="H241" s="2" t="str">
        <f>_xlfn.XLOOKUP(orders!C241,customers!$A$1:$A$1001,customers!$G$1:$G$1001,,0)</f>
        <v>United States</v>
      </c>
      <c r="I241" t="str">
        <f>INDEX(products!$A$1:$G$49,MATCH(orders!$D241, products!$A$1:$A$49,0), MATCH(orders!I$1,products!$A$1:$G$1,0))</f>
        <v>Exc</v>
      </c>
      <c r="J241" t="str">
        <f>INDEX(products!$A$1:$G$49,MATCH(orders!$D241, products!$A$1:$A$49,0), MATCH(orders!J$1,products!$A$1:$G$1,0))</f>
        <v>L</v>
      </c>
      <c r="K241" s="4">
        <f>INDEX(products!$A$1:$G$49,MATCH(orders!$D241, products!$A$1:$A$49,0), MATCH(orders!K$1,products!$A$1:$G$1,0))</f>
        <v>1</v>
      </c>
      <c r="L241" s="5">
        <f>INDEX(products!$A$1:$G$49,MATCH(orders!$D241, products!$A$1:$A$49,0), MATCH(orders!L$1,products!$A$1:$G$1,0))</f>
        <v>14.85</v>
      </c>
      <c r="M241" s="5">
        <f t="shared" si="9"/>
        <v>59.4</v>
      </c>
      <c r="N241" t="str">
        <f t="shared" si="10"/>
        <v>Excelsa</v>
      </c>
      <c r="O241" t="str">
        <f t="shared" si="11"/>
        <v>Light</v>
      </c>
      <c r="P241" t="str">
        <f>_xlfn.XLOOKUP(Table1[[#This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IF(_xlfn.XLOOKUP(C242,customers!$A$1:$A$1001,customers!C241:C1241,,0)=0,"",_xlfn.XLOOKUP(C242,customers!$A$1:$A$1001,customers!C241:C1241,,0))</f>
        <v>wmcinerneydc@wordpress.com</v>
      </c>
      <c r="H242" s="2" t="str">
        <f>_xlfn.XLOOKUP(orders!C242,customers!$A$1:$A$1001,customers!$G$1:$G$1001,,0)</f>
        <v>United States</v>
      </c>
      <c r="I242" t="str">
        <f>INDEX(products!$A$1:$G$49,MATCH(orders!$D242, products!$A$1:$A$49,0), MATCH(orders!I$1,products!$A$1:$G$1,0))</f>
        <v>Ara</v>
      </c>
      <c r="J242" t="str">
        <f>INDEX(products!$A$1:$G$49,MATCH(orders!$D242, products!$A$1:$A$49,0), MATCH(orders!J$1,products!$A$1:$G$1,0))</f>
        <v>M</v>
      </c>
      <c r="K242" s="4">
        <f>INDEX(products!$A$1:$G$49,MATCH(orders!$D242, products!$A$1:$A$49,0), MATCH(orders!K$1,products!$A$1:$G$1,0))</f>
        <v>2.5</v>
      </c>
      <c r="L242" s="5">
        <f>INDEX(products!$A$1:$G$49,MATCH(orders!$D242, products!$A$1:$A$49,0), MATCH(orders!L$1,products!$A$1:$G$1,0))</f>
        <v>25.874999999999996</v>
      </c>
      <c r="M242" s="5">
        <f t="shared" si="9"/>
        <v>155.24999999999997</v>
      </c>
      <c r="N242" t="str">
        <f t="shared" si="10"/>
        <v>Arabica</v>
      </c>
      <c r="O242" t="str">
        <f t="shared" si="11"/>
        <v>Medium</v>
      </c>
      <c r="P242" t="str">
        <f>_xlfn.XLOOKUP(Table1[[#This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IF(_xlfn.XLOOKUP(C243,customers!$A$1:$A$1001,customers!C242:C1242,,0)=0,"",_xlfn.XLOOKUP(C243,customers!$A$1:$A$1001,customers!C242:C1242,,0))</f>
        <v>skeetsde@answers.com</v>
      </c>
      <c r="H243" s="2" t="str">
        <f>_xlfn.XLOOKUP(orders!C243,customers!$A$1:$A$1001,customers!$G$1:$G$1001,,0)</f>
        <v>United States</v>
      </c>
      <c r="I243" t="str">
        <f>INDEX(products!$A$1:$G$49,MATCH(orders!$D243, products!$A$1:$A$49,0), MATCH(orders!I$1,products!$A$1:$G$1,0))</f>
        <v>Rob</v>
      </c>
      <c r="J243" t="str">
        <f>INDEX(products!$A$1:$G$49,MATCH(orders!$D243, products!$A$1:$A$49,0), MATCH(orders!J$1,products!$A$1:$G$1,0))</f>
        <v>M</v>
      </c>
      <c r="K243" s="4">
        <f>INDEX(products!$A$1:$G$49,MATCH(orders!$D243, products!$A$1:$A$49,0), MATCH(orders!K$1,products!$A$1:$G$1,0))</f>
        <v>2.5</v>
      </c>
      <c r="L243" s="5">
        <f>INDEX(products!$A$1:$G$49,MATCH(orders!$D243, products!$A$1:$A$49,0), MATCH(orders!L$1,products!$A$1:$G$1,0))</f>
        <v>22.884999999999998</v>
      </c>
      <c r="M243" s="5">
        <f t="shared" si="9"/>
        <v>45.769999999999996</v>
      </c>
      <c r="N243" t="str">
        <f t="shared" si="10"/>
        <v>Robusta</v>
      </c>
      <c r="O243" t="str">
        <f t="shared" si="11"/>
        <v>Medium</v>
      </c>
      <c r="P243" t="str">
        <f>_xlfn.XLOOKUP(Table1[[#This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IF(_xlfn.XLOOKUP(C244,customers!$A$1:$A$1001,customers!C243:C1243,,0)=0,"",_xlfn.XLOOKUP(C244,customers!$A$1:$A$1001,customers!C243:C1243,,0))</f>
        <v>kcakedg@huffingtonpost.com</v>
      </c>
      <c r="H244" s="2" t="str">
        <f>_xlfn.XLOOKUP(orders!C244,customers!$A$1:$A$1001,customers!$G$1:$G$1001,,0)</f>
        <v>United States</v>
      </c>
      <c r="I244" t="str">
        <f>INDEX(products!$A$1:$G$49,MATCH(orders!$D244, products!$A$1:$A$49,0), MATCH(orders!I$1,products!$A$1:$G$1,0))</f>
        <v>Exc</v>
      </c>
      <c r="J244" t="str">
        <f>INDEX(products!$A$1:$G$49,MATCH(orders!$D244, products!$A$1:$A$49,0), MATCH(orders!J$1,products!$A$1:$G$1,0))</f>
        <v>D</v>
      </c>
      <c r="K244" s="4">
        <f>INDEX(products!$A$1:$G$49,MATCH(orders!$D244, products!$A$1:$A$49,0), MATCH(orders!K$1,products!$A$1:$G$1,0))</f>
        <v>1</v>
      </c>
      <c r="L244" s="5">
        <f>INDEX(products!$A$1:$G$49,MATCH(orders!$D244, products!$A$1:$A$49,0), MATCH(orders!L$1,products!$A$1:$G$1,0))</f>
        <v>12.15</v>
      </c>
      <c r="M244" s="5">
        <f t="shared" si="9"/>
        <v>36.450000000000003</v>
      </c>
      <c r="N244" t="str">
        <f t="shared" si="10"/>
        <v>Excelsa</v>
      </c>
      <c r="O244" t="str">
        <f t="shared" si="11"/>
        <v>Dark</v>
      </c>
      <c r="P244" t="str">
        <f>_xlfn.XLOOKUP(Table1[[#This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IF(_xlfn.XLOOKUP(C245,customers!$A$1:$A$1001,customers!C244:C1244,,0)=0,"",_xlfn.XLOOKUP(C245,customers!$A$1:$A$1001,customers!C244:C1244,,0))</f>
        <v>fkienleindi@trellian.com</v>
      </c>
      <c r="H245" s="2" t="str">
        <f>_xlfn.XLOOKUP(orders!C245,customers!$A$1:$A$1001,customers!$G$1:$G$1001,,0)</f>
        <v>United States</v>
      </c>
      <c r="I245" t="str">
        <f>INDEX(products!$A$1:$G$49,MATCH(orders!$D245, products!$A$1:$A$49,0), MATCH(orders!I$1,products!$A$1:$G$1,0))</f>
        <v>Exc</v>
      </c>
      <c r="J245" t="str">
        <f>INDEX(products!$A$1:$G$49,MATCH(orders!$D245, products!$A$1:$A$49,0), MATCH(orders!J$1,products!$A$1:$G$1,0))</f>
        <v>D</v>
      </c>
      <c r="K245" s="4">
        <f>INDEX(products!$A$1:$G$49,MATCH(orders!$D245, products!$A$1:$A$49,0), MATCH(orders!K$1,products!$A$1:$G$1,0))</f>
        <v>0.5</v>
      </c>
      <c r="L245" s="5">
        <f>INDEX(products!$A$1:$G$49,MATCH(orders!$D245, products!$A$1:$A$49,0), MATCH(orders!L$1,products!$A$1:$G$1,0))</f>
        <v>7.29</v>
      </c>
      <c r="M245" s="5">
        <f t="shared" si="9"/>
        <v>29.16</v>
      </c>
      <c r="N245" t="str">
        <f t="shared" si="10"/>
        <v>Excelsa</v>
      </c>
      <c r="O245" t="str">
        <f t="shared" si="11"/>
        <v>Dark</v>
      </c>
      <c r="P245" t="str">
        <f>_xlfn.XLOOKUP(Table1[[#This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IF(_xlfn.XLOOKUP(C246,customers!$A$1:$A$1001,customers!C245:C1245,,0)=0,"",_xlfn.XLOOKUP(C246,customers!$A$1:$A$1001,customers!C245:C1245,,0))</f>
        <v>bsemkinsdk@unc.edu</v>
      </c>
      <c r="H246" s="2" t="str">
        <f>_xlfn.XLOOKUP(orders!C246,customers!$A$1:$A$1001,customers!$G$1:$G$1001,,0)</f>
        <v>United States</v>
      </c>
      <c r="I246" t="str">
        <f>INDEX(products!$A$1:$G$49,MATCH(orders!$D246, products!$A$1:$A$49,0), MATCH(orders!I$1,products!$A$1:$G$1,0))</f>
        <v>Lib</v>
      </c>
      <c r="J246" t="str">
        <f>INDEX(products!$A$1:$G$49,MATCH(orders!$D246, products!$A$1:$A$49,0), MATCH(orders!J$1,products!$A$1:$G$1,0))</f>
        <v>M</v>
      </c>
      <c r="K246" s="4">
        <f>INDEX(products!$A$1:$G$49,MATCH(orders!$D246, products!$A$1:$A$49,0), MATCH(orders!K$1,products!$A$1:$G$1,0))</f>
        <v>2.5</v>
      </c>
      <c r="L246" s="5">
        <f>INDEX(products!$A$1:$G$49,MATCH(orders!$D246, products!$A$1:$A$49,0), MATCH(orders!L$1,products!$A$1:$G$1,0))</f>
        <v>33.464999999999996</v>
      </c>
      <c r="M246" s="5">
        <f t="shared" si="9"/>
        <v>133.85999999999999</v>
      </c>
      <c r="N246" t="str">
        <f t="shared" si="10"/>
        <v>Liberica</v>
      </c>
      <c r="O246" t="str">
        <f t="shared" si="11"/>
        <v>Medium</v>
      </c>
      <c r="P246" t="str">
        <f>_xlfn.XLOOKUP(Table1[[#This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IF(_xlfn.XLOOKUP(C247,customers!$A$1:$A$1001,customers!C246:C1246,,0)=0,"",_xlfn.XLOOKUP(C247,customers!$A$1:$A$1001,customers!C246:C1246,,0))</f>
        <v>bgiannazzidm@apple.com</v>
      </c>
      <c r="H247" s="2" t="str">
        <f>_xlfn.XLOOKUP(orders!C247,customers!$A$1:$A$1001,customers!$G$1:$G$1001,,0)</f>
        <v>United States</v>
      </c>
      <c r="I247" t="str">
        <f>INDEX(products!$A$1:$G$49,MATCH(orders!$D247, products!$A$1:$A$49,0), MATCH(orders!I$1,products!$A$1:$G$1,0))</f>
        <v>Lib</v>
      </c>
      <c r="J247" t="str">
        <f>INDEX(products!$A$1:$G$49,MATCH(orders!$D247, products!$A$1:$A$49,0), MATCH(orders!J$1,products!$A$1:$G$1,0))</f>
        <v>L</v>
      </c>
      <c r="K247" s="4">
        <f>INDEX(products!$A$1:$G$49,MATCH(orders!$D247, products!$A$1:$A$49,0), MATCH(orders!K$1,products!$A$1:$G$1,0))</f>
        <v>0.2</v>
      </c>
      <c r="L247" s="5">
        <f>INDEX(products!$A$1:$G$49,MATCH(orders!$D247, products!$A$1:$A$49,0), MATCH(orders!L$1,products!$A$1:$G$1,0))</f>
        <v>4.7549999999999999</v>
      </c>
      <c r="M247" s="5">
        <f t="shared" si="9"/>
        <v>23.774999999999999</v>
      </c>
      <c r="N247" t="str">
        <f t="shared" si="10"/>
        <v>Liberica</v>
      </c>
      <c r="O247" t="str">
        <f t="shared" si="11"/>
        <v>Light</v>
      </c>
      <c r="P247" t="str">
        <f>_xlfn.XLOOKUP(Table1[[#This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IF(_xlfn.XLOOKUP(C248,customers!$A$1:$A$1001,customers!C247:C1247,,0)=0,"",_xlfn.XLOOKUP(C248,customers!$A$1:$A$1001,customers!C247:C1247,,0))</f>
        <v>ulethbrigdo@hc360.com</v>
      </c>
      <c r="H248" s="2" t="str">
        <f>_xlfn.XLOOKUP(orders!C248,customers!$A$1:$A$1001,customers!$G$1:$G$1001,,0)</f>
        <v>United Kingdom</v>
      </c>
      <c r="I248" t="str">
        <f>INDEX(products!$A$1:$G$49,MATCH(orders!$D248, products!$A$1:$A$49,0), MATCH(orders!I$1,products!$A$1:$G$1,0))</f>
        <v>Lib</v>
      </c>
      <c r="J248" t="str">
        <f>INDEX(products!$A$1:$G$49,MATCH(orders!$D248, products!$A$1:$A$49,0), MATCH(orders!J$1,products!$A$1:$G$1,0))</f>
        <v>D</v>
      </c>
      <c r="K248" s="4">
        <f>INDEX(products!$A$1:$G$49,MATCH(orders!$D248, products!$A$1:$A$49,0), MATCH(orders!K$1,products!$A$1:$G$1,0))</f>
        <v>1</v>
      </c>
      <c r="L248" s="5">
        <f>INDEX(products!$A$1:$G$49,MATCH(orders!$D248, products!$A$1:$A$49,0), MATCH(orders!L$1,products!$A$1:$G$1,0))</f>
        <v>12.95</v>
      </c>
      <c r="M248" s="5">
        <f t="shared" si="9"/>
        <v>38.849999999999994</v>
      </c>
      <c r="N248" t="str">
        <f t="shared" si="10"/>
        <v>Liberica</v>
      </c>
      <c r="O248" t="str">
        <f t="shared" si="11"/>
        <v>Dark</v>
      </c>
      <c r="P248" t="str">
        <f>_xlfn.XLOOKUP(Table1[[#This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IF(_xlfn.XLOOKUP(C249,customers!$A$1:$A$1001,customers!C248:C1248,,0)=0,"",_xlfn.XLOOKUP(C249,customers!$A$1:$A$1001,customers!C248:C1248,,0))</f>
        <v>fjecockdq@unicef.org</v>
      </c>
      <c r="H249" s="2" t="str">
        <f>_xlfn.XLOOKUP(orders!C249,customers!$A$1:$A$1001,customers!$G$1:$G$1001,,0)</f>
        <v>Ireland</v>
      </c>
      <c r="I249" t="str">
        <f>INDEX(products!$A$1:$G$49,MATCH(orders!$D249, products!$A$1:$A$49,0), MATCH(orders!I$1,products!$A$1:$G$1,0))</f>
        <v>Rob</v>
      </c>
      <c r="J249" t="str">
        <f>INDEX(products!$A$1:$G$49,MATCH(orders!$D249, products!$A$1:$A$49,0), MATCH(orders!J$1,products!$A$1:$G$1,0))</f>
        <v>L</v>
      </c>
      <c r="K249" s="4">
        <f>INDEX(products!$A$1:$G$49,MATCH(orders!$D249, products!$A$1:$A$49,0), MATCH(orders!K$1,products!$A$1:$G$1,0))</f>
        <v>0.2</v>
      </c>
      <c r="L249" s="5">
        <f>INDEX(products!$A$1:$G$49,MATCH(orders!$D249, products!$A$1:$A$49,0), MATCH(orders!L$1,products!$A$1:$G$1,0))</f>
        <v>3.5849999999999995</v>
      </c>
      <c r="M249" s="5">
        <f t="shared" si="9"/>
        <v>21.509999999999998</v>
      </c>
      <c r="N249" t="str">
        <f t="shared" si="10"/>
        <v>Robusta</v>
      </c>
      <c r="O249" t="str">
        <f t="shared" si="11"/>
        <v>Light</v>
      </c>
      <c r="P249" t="str">
        <f>_xlfn.XLOOKUP(Table1[[#This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IF(_xlfn.XLOOKUP(C250,customers!$A$1:$A$1001,customers!C249:C1249,,0)=0,"",_xlfn.XLOOKUP(C250,customers!$A$1:$A$1001,customers!C249:C1249,,0))</f>
        <v>hpallisterds@ning.com</v>
      </c>
      <c r="H250" s="2" t="str">
        <f>_xlfn.XLOOKUP(orders!C250,customers!$A$1:$A$1001,customers!$G$1:$G$1001,,0)</f>
        <v>United States</v>
      </c>
      <c r="I250" t="str">
        <f>INDEX(products!$A$1:$G$49,MATCH(orders!$D250, products!$A$1:$A$49,0), MATCH(orders!I$1,products!$A$1:$G$1,0))</f>
        <v>Ara</v>
      </c>
      <c r="J250" t="str">
        <f>INDEX(products!$A$1:$G$49,MATCH(orders!$D250, products!$A$1:$A$49,0), MATCH(orders!J$1,products!$A$1:$G$1,0))</f>
        <v>D</v>
      </c>
      <c r="K250" s="4">
        <f>INDEX(products!$A$1:$G$49,MATCH(orders!$D250, products!$A$1:$A$49,0), MATCH(orders!K$1,products!$A$1:$G$1,0))</f>
        <v>1</v>
      </c>
      <c r="L250" s="5">
        <f>INDEX(products!$A$1:$G$49,MATCH(orders!$D250, products!$A$1:$A$49,0), MATCH(orders!L$1,products!$A$1:$G$1,0))</f>
        <v>9.9499999999999993</v>
      </c>
      <c r="M250" s="5">
        <f t="shared" si="9"/>
        <v>9.9499999999999993</v>
      </c>
      <c r="N250" t="str">
        <f t="shared" si="10"/>
        <v>Arabica</v>
      </c>
      <c r="O250" t="str">
        <f t="shared" si="11"/>
        <v>Dark</v>
      </c>
      <c r="P250" t="str">
        <f>_xlfn.XLOOKUP(Table1[[#This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IF(_xlfn.XLOOKUP(C251,customers!$A$1:$A$1001,customers!C250:C1250,,0)=0,"",_xlfn.XLOOKUP(C251,customers!$A$1:$A$1001,customers!C250:C1250,,0))</f>
        <v>wstearleye1@census.gov</v>
      </c>
      <c r="H251" s="2" t="str">
        <f>_xlfn.XLOOKUP(orders!C251,customers!$A$1:$A$1001,customers!$G$1:$G$1001,,0)</f>
        <v>United States</v>
      </c>
      <c r="I251" t="str">
        <f>INDEX(products!$A$1:$G$49,MATCH(orders!$D251, products!$A$1:$A$49,0), MATCH(orders!I$1,products!$A$1:$G$1,0))</f>
        <v>Lib</v>
      </c>
      <c r="J251" t="str">
        <f>INDEX(products!$A$1:$G$49,MATCH(orders!$D251, products!$A$1:$A$49,0), MATCH(orders!J$1,products!$A$1:$G$1,0))</f>
        <v>L</v>
      </c>
      <c r="K251" s="4">
        <f>INDEX(products!$A$1:$G$49,MATCH(orders!$D251, products!$A$1:$A$49,0), MATCH(orders!K$1,products!$A$1:$G$1,0))</f>
        <v>1</v>
      </c>
      <c r="L251" s="5">
        <f>INDEX(products!$A$1:$G$49,MATCH(orders!$D251, products!$A$1:$A$49,0), MATCH(orders!L$1,products!$A$1:$G$1,0))</f>
        <v>15.85</v>
      </c>
      <c r="M251" s="5">
        <f t="shared" si="9"/>
        <v>15.85</v>
      </c>
      <c r="N251" t="str">
        <f t="shared" si="10"/>
        <v>Liberica</v>
      </c>
      <c r="O251" t="str">
        <f t="shared" si="11"/>
        <v>Light</v>
      </c>
      <c r="P251" t="str">
        <f>_xlfn.XLOOKUP(Table1[[#This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IF(_xlfn.XLOOKUP(C252,customers!$A$1:$A$1001,customers!C251:C1251,,0)=0,"",_xlfn.XLOOKUP(C252,customers!$A$1:$A$1001,customers!C251:C1251,,0))</f>
        <v/>
      </c>
      <c r="H252" s="2" t="str">
        <f>_xlfn.XLOOKUP(orders!C252,customers!$A$1:$A$1001,customers!$G$1:$G$1001,,0)</f>
        <v>United States</v>
      </c>
      <c r="I252" t="str">
        <f>INDEX(products!$A$1:$G$49,MATCH(orders!$D252, products!$A$1:$A$49,0), MATCH(orders!I$1,products!$A$1:$G$1,0))</f>
        <v>Rob</v>
      </c>
      <c r="J252" t="str">
        <f>INDEX(products!$A$1:$G$49,MATCH(orders!$D252, products!$A$1:$A$49,0), MATCH(orders!J$1,products!$A$1:$G$1,0))</f>
        <v>M</v>
      </c>
      <c r="K252" s="4">
        <f>INDEX(products!$A$1:$G$49,MATCH(orders!$D252, products!$A$1:$A$49,0), MATCH(orders!K$1,products!$A$1:$G$1,0))</f>
        <v>0.2</v>
      </c>
      <c r="L252" s="5">
        <f>INDEX(products!$A$1:$G$49,MATCH(orders!$D252, products!$A$1:$A$49,0), MATCH(orders!L$1,products!$A$1:$G$1,0))</f>
        <v>2.9849999999999999</v>
      </c>
      <c r="M252" s="5">
        <f t="shared" si="9"/>
        <v>2.9849999999999999</v>
      </c>
      <c r="N252" t="str">
        <f t="shared" si="10"/>
        <v>Robusta</v>
      </c>
      <c r="O252" t="str">
        <f t="shared" si="11"/>
        <v>Medium</v>
      </c>
      <c r="P252" t="str">
        <f>_xlfn.XLOOKUP(Table1[[#This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IF(_xlfn.XLOOKUP(C253,customers!$A$1:$A$1001,customers!C252:C1252,,0)=0,"",_xlfn.XLOOKUP(C253,customers!$A$1:$A$1001,customers!C252:C1252,,0))</f>
        <v>eshearsbydy@g.co</v>
      </c>
      <c r="H253" s="2" t="str">
        <f>_xlfn.XLOOKUP(orders!C253,customers!$A$1:$A$1001,customers!$G$1:$G$1001,,0)</f>
        <v>United States</v>
      </c>
      <c r="I253" t="str">
        <f>INDEX(products!$A$1:$G$49,MATCH(orders!$D253, products!$A$1:$A$49,0), MATCH(orders!I$1,products!$A$1:$G$1,0))</f>
        <v>Exc</v>
      </c>
      <c r="J253" t="str">
        <f>INDEX(products!$A$1:$G$49,MATCH(orders!$D253, products!$A$1:$A$49,0), MATCH(orders!J$1,products!$A$1:$G$1,0))</f>
        <v>M</v>
      </c>
      <c r="K253" s="4">
        <f>INDEX(products!$A$1:$G$49,MATCH(orders!$D253, products!$A$1:$A$49,0), MATCH(orders!K$1,products!$A$1:$G$1,0))</f>
        <v>1</v>
      </c>
      <c r="L253" s="5">
        <f>INDEX(products!$A$1:$G$49,MATCH(orders!$D253, products!$A$1:$A$49,0), MATCH(orders!L$1,products!$A$1:$G$1,0))</f>
        <v>13.75</v>
      </c>
      <c r="M253" s="5">
        <f t="shared" si="9"/>
        <v>68.75</v>
      </c>
      <c r="N253" t="str">
        <f t="shared" si="10"/>
        <v>Excelsa</v>
      </c>
      <c r="O253" t="str">
        <f t="shared" si="11"/>
        <v>Medium</v>
      </c>
      <c r="P253" t="str">
        <f>_xlfn.XLOOKUP(Table1[[#This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IF(_xlfn.XLOOKUP(C254,customers!$A$1:$A$1001,customers!C253:C1253,,0)=0,"",_xlfn.XLOOKUP(C254,customers!$A$1:$A$1001,customers!C253:C1253,,0))</f>
        <v>nerswelle0@mlb.com</v>
      </c>
      <c r="H254" s="2" t="str">
        <f>_xlfn.XLOOKUP(orders!C254,customers!$A$1:$A$1001,customers!$G$1:$G$1001,,0)</f>
        <v>United States</v>
      </c>
      <c r="I254" t="str">
        <f>INDEX(products!$A$1:$G$49,MATCH(orders!$D254, products!$A$1:$A$49,0), MATCH(orders!I$1,products!$A$1:$G$1,0))</f>
        <v>Ara</v>
      </c>
      <c r="J254" t="str">
        <f>INDEX(products!$A$1:$G$49,MATCH(orders!$D254, products!$A$1:$A$49,0), MATCH(orders!J$1,products!$A$1:$G$1,0))</f>
        <v>D</v>
      </c>
      <c r="K254" s="4">
        <f>INDEX(products!$A$1:$G$49,MATCH(orders!$D254, products!$A$1:$A$49,0), MATCH(orders!K$1,products!$A$1:$G$1,0))</f>
        <v>1</v>
      </c>
      <c r="L254" s="5">
        <f>INDEX(products!$A$1:$G$49,MATCH(orders!$D254, products!$A$1:$A$49,0), MATCH(orders!L$1,products!$A$1:$G$1,0))</f>
        <v>9.9499999999999993</v>
      </c>
      <c r="M254" s="5">
        <f t="shared" si="9"/>
        <v>29.849999999999998</v>
      </c>
      <c r="N254" t="str">
        <f t="shared" si="10"/>
        <v>Arabica</v>
      </c>
      <c r="O254" t="str">
        <f t="shared" si="11"/>
        <v>Dark</v>
      </c>
      <c r="P254" t="str">
        <f>_xlfn.XLOOKUP(Table1[[#This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IF(_xlfn.XLOOKUP(C255,customers!$A$1:$A$1001,customers!C254:C1254,,0)=0,"",_xlfn.XLOOKUP(C255,customers!$A$1:$A$1001,customers!C254:C1254,,0))</f>
        <v>dwincere2@marriott.com</v>
      </c>
      <c r="H255" s="2" t="str">
        <f>_xlfn.XLOOKUP(orders!C255,customers!$A$1:$A$1001,customers!$G$1:$G$1001,,0)</f>
        <v>United States</v>
      </c>
      <c r="I255" t="str">
        <f>INDEX(products!$A$1:$G$49,MATCH(orders!$D255, products!$A$1:$A$49,0), MATCH(orders!I$1,products!$A$1:$G$1,0))</f>
        <v>Lib</v>
      </c>
      <c r="J255" t="str">
        <f>INDEX(products!$A$1:$G$49,MATCH(orders!$D255, products!$A$1:$A$49,0), MATCH(orders!J$1,products!$A$1:$G$1,0))</f>
        <v>M</v>
      </c>
      <c r="K255" s="4">
        <f>INDEX(products!$A$1:$G$49,MATCH(orders!$D255, products!$A$1:$A$49,0), MATCH(orders!K$1,products!$A$1:$G$1,0))</f>
        <v>1</v>
      </c>
      <c r="L255" s="5">
        <f>INDEX(products!$A$1:$G$49,MATCH(orders!$D255, products!$A$1:$A$49,0), MATCH(orders!L$1,products!$A$1:$G$1,0))</f>
        <v>14.55</v>
      </c>
      <c r="M255" s="5">
        <f t="shared" si="9"/>
        <v>58.2</v>
      </c>
      <c r="N255" t="str">
        <f t="shared" si="10"/>
        <v>Liberica</v>
      </c>
      <c r="O255" t="str">
        <f t="shared" si="11"/>
        <v>Medium</v>
      </c>
      <c r="P255" t="str">
        <f>_xlfn.XLOOKUP(Table1[[#This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IF(_xlfn.XLOOKUP(C256,customers!$A$1:$A$1001,customers!C255:C1255,,0)=0,"",_xlfn.XLOOKUP(C256,customers!$A$1:$A$1001,customers!C255:C1255,,0))</f>
        <v>hperrise4@studiopress.com</v>
      </c>
      <c r="H256" s="2" t="str">
        <f>_xlfn.XLOOKUP(orders!C256,customers!$A$1:$A$1001,customers!$G$1:$G$1001,,0)</f>
        <v>United Kingdom</v>
      </c>
      <c r="I256" t="str">
        <f>INDEX(products!$A$1:$G$49,MATCH(orders!$D256, products!$A$1:$A$49,0), MATCH(orders!I$1,products!$A$1:$G$1,0))</f>
        <v>Rob</v>
      </c>
      <c r="J256" t="str">
        <f>INDEX(products!$A$1:$G$49,MATCH(orders!$D256, products!$A$1:$A$49,0), MATCH(orders!J$1,products!$A$1:$G$1,0))</f>
        <v>L</v>
      </c>
      <c r="K256" s="4">
        <f>INDEX(products!$A$1:$G$49,MATCH(orders!$D256, products!$A$1:$A$49,0), MATCH(orders!K$1,products!$A$1:$G$1,0))</f>
        <v>0.5</v>
      </c>
      <c r="L256" s="5">
        <f>INDEX(products!$A$1:$G$49,MATCH(orders!$D256, products!$A$1:$A$49,0), MATCH(orders!L$1,products!$A$1:$G$1,0))</f>
        <v>7.169999999999999</v>
      </c>
      <c r="M256" s="5">
        <f t="shared" si="9"/>
        <v>28.679999999999996</v>
      </c>
      <c r="N256" t="str">
        <f t="shared" si="10"/>
        <v>Robusta</v>
      </c>
      <c r="O256" t="str">
        <f t="shared" si="11"/>
        <v>Light</v>
      </c>
      <c r="P256" t="str">
        <f>_xlfn.XLOOKUP(Table1[[#This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IF(_xlfn.XLOOKUP(C257,customers!$A$1:$A$1001,customers!C256:C1256,,0)=0,"",_xlfn.XLOOKUP(C257,customers!$A$1:$A$1001,customers!C256:C1256,,0))</f>
        <v>ckide6@narod.ru</v>
      </c>
      <c r="H257" s="2" t="str">
        <f>_xlfn.XLOOKUP(orders!C257,customers!$A$1:$A$1001,customers!$G$1:$G$1001,,0)</f>
        <v>United States</v>
      </c>
      <c r="I257" t="str">
        <f>INDEX(products!$A$1:$G$49,MATCH(orders!$D257, products!$A$1:$A$49,0), MATCH(orders!I$1,products!$A$1:$G$1,0))</f>
        <v>Rob</v>
      </c>
      <c r="J257" t="str">
        <f>INDEX(products!$A$1:$G$49,MATCH(orders!$D257, products!$A$1:$A$49,0), MATCH(orders!J$1,products!$A$1:$G$1,0))</f>
        <v>L</v>
      </c>
      <c r="K257" s="4">
        <f>INDEX(products!$A$1:$G$49,MATCH(orders!$D257, products!$A$1:$A$49,0), MATCH(orders!K$1,products!$A$1:$G$1,0))</f>
        <v>0.5</v>
      </c>
      <c r="L257" s="5">
        <f>INDEX(products!$A$1:$G$49,MATCH(orders!$D257, products!$A$1:$A$49,0), MATCH(orders!L$1,products!$A$1:$G$1,0))</f>
        <v>7.169999999999999</v>
      </c>
      <c r="M257" s="5">
        <f t="shared" si="9"/>
        <v>21.509999999999998</v>
      </c>
      <c r="N257" t="str">
        <f t="shared" si="10"/>
        <v>Robusta</v>
      </c>
      <c r="O257" t="str">
        <f t="shared" si="11"/>
        <v>Light</v>
      </c>
      <c r="P257" t="str">
        <f>_xlfn.XLOOKUP(Table1[[#This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IF(_xlfn.XLOOKUP(C258,customers!$A$1:$A$1001,customers!C257:C1257,,0)=0,"",_xlfn.XLOOKUP(C258,customers!$A$1:$A$1001,customers!C257:C1257,,0))</f>
        <v>cbakeupe8@globo.com</v>
      </c>
      <c r="H258" s="2" t="str">
        <f>_xlfn.XLOOKUP(orders!C258,customers!$A$1:$A$1001,customers!$G$1:$G$1001,,0)</f>
        <v>United States</v>
      </c>
      <c r="I258" t="str">
        <f>INDEX(products!$A$1:$G$49,MATCH(orders!$D258, products!$A$1:$A$49,0), MATCH(orders!I$1,products!$A$1:$G$1,0))</f>
        <v>Lib</v>
      </c>
      <c r="J258" t="str">
        <f>INDEX(products!$A$1:$G$49,MATCH(orders!$D258, products!$A$1:$A$49,0), MATCH(orders!J$1,products!$A$1:$G$1,0))</f>
        <v>M</v>
      </c>
      <c r="K258" s="4">
        <f>INDEX(products!$A$1:$G$49,MATCH(orders!$D258, products!$A$1:$A$49,0), MATCH(orders!K$1,products!$A$1:$G$1,0))</f>
        <v>0.5</v>
      </c>
      <c r="L258" s="5">
        <f>INDEX(products!$A$1:$G$49,MATCH(orders!$D258, products!$A$1:$A$49,0), MATCH(orders!L$1,products!$A$1:$G$1,0))</f>
        <v>8.73</v>
      </c>
      <c r="M258" s="5">
        <f t="shared" si="9"/>
        <v>17.46</v>
      </c>
      <c r="N258" t="str">
        <f t="shared" si="10"/>
        <v>Liberica</v>
      </c>
      <c r="O258" t="str">
        <f t="shared" si="11"/>
        <v>Medium</v>
      </c>
      <c r="P258" t="str">
        <f>_xlfn.XLOOKUP(Table1[[#This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IF(_xlfn.XLOOKUP(C259,customers!$A$1:$A$1001,customers!C258:C1258,,0)=0,"",_xlfn.XLOOKUP(C259,customers!$A$1:$A$1001,customers!C258:C1258,,0))</f>
        <v>pwitheringtonea@networkadvertising.org</v>
      </c>
      <c r="H259" s="2" t="str">
        <f>_xlfn.XLOOKUP(orders!C259,customers!$A$1:$A$1001,customers!$G$1:$G$1001,,0)</f>
        <v>United States</v>
      </c>
      <c r="I259" t="str">
        <f>INDEX(products!$A$1:$G$49,MATCH(orders!$D259, products!$A$1:$A$49,0), MATCH(orders!I$1,products!$A$1:$G$1,0))</f>
        <v>Exc</v>
      </c>
      <c r="J259" t="str">
        <f>INDEX(products!$A$1:$G$49,MATCH(orders!$D259, products!$A$1:$A$49,0), MATCH(orders!J$1,products!$A$1:$G$1,0))</f>
        <v>D</v>
      </c>
      <c r="K259" s="4">
        <f>INDEX(products!$A$1:$G$49,MATCH(orders!$D259, products!$A$1:$A$49,0), MATCH(orders!K$1,products!$A$1:$G$1,0))</f>
        <v>2.5</v>
      </c>
      <c r="L259" s="5">
        <f>INDEX(products!$A$1:$G$49,MATCH(orders!$D259, products!$A$1:$A$49,0), MATCH(orders!L$1,products!$A$1:$G$1,0))</f>
        <v>27.945</v>
      </c>
      <c r="M259" s="5">
        <f t="shared" ref="M259:M322" si="12">L259*E259</f>
        <v>27.945</v>
      </c>
      <c r="N259" t="str">
        <f t="shared" ref="N259:N322" si="13">IF(I259="Rob","Robusta",IF(I259="Exc", "Excelsa", IF(I259="Ara","Arabica", IF(I259="lib","Liberica",""))))</f>
        <v>Excelsa</v>
      </c>
      <c r="O259" t="str">
        <f t="shared" ref="O259:O322" si="14">IF(J259="M","Medium",IF(J259="L","Light",IF(J259="D","Dark", "")))</f>
        <v>Dark</v>
      </c>
      <c r="P259" t="str">
        <f>_xlfn.XLOOKUP(Table1[[#This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IF(_xlfn.XLOOKUP(C260,customers!$A$1:$A$1001,customers!C259:C1259,,0)=0,"",_xlfn.XLOOKUP(C260,customers!$A$1:$A$1001,customers!C259:C1259,,0))</f>
        <v/>
      </c>
      <c r="H260" s="2" t="str">
        <f>_xlfn.XLOOKUP(orders!C260,customers!$A$1:$A$1001,customers!$G$1:$G$1001,,0)</f>
        <v>United States</v>
      </c>
      <c r="I260" t="str">
        <f>INDEX(products!$A$1:$G$49,MATCH(orders!$D260, products!$A$1:$A$49,0), MATCH(orders!I$1,products!$A$1:$G$1,0))</f>
        <v>Exc</v>
      </c>
      <c r="J260" t="str">
        <f>INDEX(products!$A$1:$G$49,MATCH(orders!$D260, products!$A$1:$A$49,0), MATCH(orders!J$1,products!$A$1:$G$1,0))</f>
        <v>D</v>
      </c>
      <c r="K260" s="4">
        <f>INDEX(products!$A$1:$G$49,MATCH(orders!$D260, products!$A$1:$A$49,0), MATCH(orders!K$1,products!$A$1:$G$1,0))</f>
        <v>2.5</v>
      </c>
      <c r="L260" s="5">
        <f>INDEX(products!$A$1:$G$49,MATCH(orders!$D260, products!$A$1:$A$49,0), MATCH(orders!L$1,products!$A$1:$G$1,0))</f>
        <v>27.945</v>
      </c>
      <c r="M260" s="5">
        <f t="shared" si="12"/>
        <v>139.72499999999999</v>
      </c>
      <c r="N260" t="str">
        <f t="shared" si="13"/>
        <v>Excelsa</v>
      </c>
      <c r="O260" t="str">
        <f t="shared" si="14"/>
        <v>Dark</v>
      </c>
      <c r="P260" t="str">
        <f>_xlfn.XLOOKUP(Table1[[#This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IF(_xlfn.XLOOKUP(C261,customers!$A$1:$A$1001,customers!C260:C1260,,0)=0,"",_xlfn.XLOOKUP(C261,customers!$A$1:$A$1001,customers!C260:C1260,,0))</f>
        <v>kimortsee@alexa.com</v>
      </c>
      <c r="H261" s="2" t="str">
        <f>_xlfn.XLOOKUP(orders!C261,customers!$A$1:$A$1001,customers!$G$1:$G$1001,,0)</f>
        <v>United Kingdom</v>
      </c>
      <c r="I261" t="str">
        <f>INDEX(products!$A$1:$G$49,MATCH(orders!$D261, products!$A$1:$A$49,0), MATCH(orders!I$1,products!$A$1:$G$1,0))</f>
        <v>Rob</v>
      </c>
      <c r="J261" t="str">
        <f>INDEX(products!$A$1:$G$49,MATCH(orders!$D261, products!$A$1:$A$49,0), MATCH(orders!J$1,products!$A$1:$G$1,0))</f>
        <v>M</v>
      </c>
      <c r="K261" s="4">
        <f>INDEX(products!$A$1:$G$49,MATCH(orders!$D261, products!$A$1:$A$49,0), MATCH(orders!K$1,products!$A$1:$G$1,0))</f>
        <v>0.2</v>
      </c>
      <c r="L261" s="5">
        <f>INDEX(products!$A$1:$G$49,MATCH(orders!$D261, products!$A$1:$A$49,0), MATCH(orders!L$1,products!$A$1:$G$1,0))</f>
        <v>2.9849999999999999</v>
      </c>
      <c r="M261" s="5">
        <f t="shared" si="12"/>
        <v>5.97</v>
      </c>
      <c r="N261" t="str">
        <f t="shared" si="13"/>
        <v>Robusta</v>
      </c>
      <c r="O261" t="str">
        <f t="shared" si="14"/>
        <v>Medium</v>
      </c>
      <c r="P261" t="str">
        <f>_xlfn.XLOOKUP(Table1[[#This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IF(_xlfn.XLOOKUP(C262,customers!$A$1:$A$1001,customers!C261:C1261,,0)=0,"",_xlfn.XLOOKUP(C262,customers!$A$1:$A$1001,customers!C261:C1261,,0))</f>
        <v>marmisteadeg@blogtalkradio.com</v>
      </c>
      <c r="H262" s="2" t="str">
        <f>_xlfn.XLOOKUP(orders!C262,customers!$A$1:$A$1001,customers!$G$1:$G$1001,,0)</f>
        <v>United States</v>
      </c>
      <c r="I262" t="str">
        <f>INDEX(products!$A$1:$G$49,MATCH(orders!$D262, products!$A$1:$A$49,0), MATCH(orders!I$1,products!$A$1:$G$1,0))</f>
        <v>Rob</v>
      </c>
      <c r="J262" t="str">
        <f>INDEX(products!$A$1:$G$49,MATCH(orders!$D262, products!$A$1:$A$49,0), MATCH(orders!J$1,products!$A$1:$G$1,0))</f>
        <v>L</v>
      </c>
      <c r="K262" s="4">
        <f>INDEX(products!$A$1:$G$49,MATCH(orders!$D262, products!$A$1:$A$49,0), MATCH(orders!K$1,products!$A$1:$G$1,0))</f>
        <v>2.5</v>
      </c>
      <c r="L262" s="5">
        <f>INDEX(products!$A$1:$G$49,MATCH(orders!$D262, products!$A$1:$A$49,0), MATCH(orders!L$1,products!$A$1:$G$1,0))</f>
        <v>27.484999999999996</v>
      </c>
      <c r="M262" s="5">
        <f t="shared" si="12"/>
        <v>27.484999999999996</v>
      </c>
      <c r="N262" t="str">
        <f t="shared" si="13"/>
        <v>Robusta</v>
      </c>
      <c r="O262" t="str">
        <f t="shared" si="14"/>
        <v>Light</v>
      </c>
      <c r="P262" t="str">
        <f>_xlfn.XLOOKUP(Table1[[#This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IF(_xlfn.XLOOKUP(C263,customers!$A$1:$A$1001,customers!C262:C1262,,0)=0,"",_xlfn.XLOOKUP(C263,customers!$A$1:$A$1001,customers!C262:C1262,,0))</f>
        <v>vupstoneei@google.pl</v>
      </c>
      <c r="H263" s="2" t="str">
        <f>_xlfn.XLOOKUP(orders!C263,customers!$A$1:$A$1001,customers!$G$1:$G$1001,,0)</f>
        <v>United States</v>
      </c>
      <c r="I263" t="str">
        <f>INDEX(products!$A$1:$G$49,MATCH(orders!$D263, products!$A$1:$A$49,0), MATCH(orders!I$1,products!$A$1:$G$1,0))</f>
        <v>Rob</v>
      </c>
      <c r="J263" t="str">
        <f>INDEX(products!$A$1:$G$49,MATCH(orders!$D263, products!$A$1:$A$49,0), MATCH(orders!J$1,products!$A$1:$G$1,0))</f>
        <v>L</v>
      </c>
      <c r="K263" s="4">
        <f>INDEX(products!$A$1:$G$49,MATCH(orders!$D263, products!$A$1:$A$49,0), MATCH(orders!K$1,products!$A$1:$G$1,0))</f>
        <v>1</v>
      </c>
      <c r="L263" s="5">
        <f>INDEX(products!$A$1:$G$49,MATCH(orders!$D263, products!$A$1:$A$49,0), MATCH(orders!L$1,products!$A$1:$G$1,0))</f>
        <v>11.95</v>
      </c>
      <c r="M263" s="5">
        <f t="shared" si="12"/>
        <v>59.75</v>
      </c>
      <c r="N263" t="str">
        <f t="shared" si="13"/>
        <v>Robusta</v>
      </c>
      <c r="O263" t="str">
        <f t="shared" si="14"/>
        <v>Light</v>
      </c>
      <c r="P263" t="str">
        <f>_xlfn.XLOOKUP(Table1[[#This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IF(_xlfn.XLOOKUP(C264,customers!$A$1:$A$1001,customers!C263:C1263,,0)=0,"",_xlfn.XLOOKUP(C264,customers!$A$1:$A$1001,customers!C263:C1263,,0))</f>
        <v/>
      </c>
      <c r="H264" s="2" t="str">
        <f>_xlfn.XLOOKUP(orders!C264,customers!$A$1:$A$1001,customers!$G$1:$G$1001,,0)</f>
        <v>United States</v>
      </c>
      <c r="I264" t="str">
        <f>INDEX(products!$A$1:$G$49,MATCH(orders!$D264, products!$A$1:$A$49,0), MATCH(orders!I$1,products!$A$1:$G$1,0))</f>
        <v>Exc</v>
      </c>
      <c r="J264" t="str">
        <f>INDEX(products!$A$1:$G$49,MATCH(orders!$D264, products!$A$1:$A$49,0), MATCH(orders!J$1,products!$A$1:$G$1,0))</f>
        <v>M</v>
      </c>
      <c r="K264" s="4">
        <f>INDEX(products!$A$1:$G$49,MATCH(orders!$D264, products!$A$1:$A$49,0), MATCH(orders!K$1,products!$A$1:$G$1,0))</f>
        <v>1</v>
      </c>
      <c r="L264" s="5">
        <f>INDEX(products!$A$1:$G$49,MATCH(orders!$D264, products!$A$1:$A$49,0), MATCH(orders!L$1,products!$A$1:$G$1,0))</f>
        <v>13.75</v>
      </c>
      <c r="M264" s="5">
        <f t="shared" si="12"/>
        <v>41.25</v>
      </c>
      <c r="N264" t="str">
        <f t="shared" si="13"/>
        <v>Excelsa</v>
      </c>
      <c r="O264" t="str">
        <f t="shared" si="14"/>
        <v>Medium</v>
      </c>
      <c r="P264" t="str">
        <f>_xlfn.XLOOKUP(Table1[[#This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IF(_xlfn.XLOOKUP(C265,customers!$A$1:$A$1001,customers!C264:C1264,,0)=0,"",_xlfn.XLOOKUP(C265,customers!$A$1:$A$1001,customers!C264:C1264,,0))</f>
        <v>wspeechlyem@amazon.com</v>
      </c>
      <c r="H265" s="2" t="str">
        <f>_xlfn.XLOOKUP(orders!C265,customers!$A$1:$A$1001,customers!$G$1:$G$1001,,0)</f>
        <v>United States</v>
      </c>
      <c r="I265" t="str">
        <f>INDEX(products!$A$1:$G$49,MATCH(orders!$D265, products!$A$1:$A$49,0), MATCH(orders!I$1,products!$A$1:$G$1,0))</f>
        <v>Lib</v>
      </c>
      <c r="J265" t="str">
        <f>INDEX(products!$A$1:$G$49,MATCH(orders!$D265, products!$A$1:$A$49,0), MATCH(orders!J$1,products!$A$1:$G$1,0))</f>
        <v>M</v>
      </c>
      <c r="K265" s="4">
        <f>INDEX(products!$A$1:$G$49,MATCH(orders!$D265, products!$A$1:$A$49,0), MATCH(orders!K$1,products!$A$1:$G$1,0))</f>
        <v>2.5</v>
      </c>
      <c r="L265" s="5">
        <f>INDEX(products!$A$1:$G$49,MATCH(orders!$D265, products!$A$1:$A$49,0), MATCH(orders!L$1,products!$A$1:$G$1,0))</f>
        <v>33.464999999999996</v>
      </c>
      <c r="M265" s="5">
        <f t="shared" si="12"/>
        <v>133.85999999999999</v>
      </c>
      <c r="N265" t="str">
        <f t="shared" si="13"/>
        <v>Liberica</v>
      </c>
      <c r="O265" t="str">
        <f t="shared" si="14"/>
        <v>Medium</v>
      </c>
      <c r="P265" t="str">
        <f>_xlfn.XLOOKUP(Table1[[#This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IF(_xlfn.XLOOKUP(C266,customers!$A$1:$A$1001,customers!C265:C1265,,0)=0,"",_xlfn.XLOOKUP(C266,customers!$A$1:$A$1001,customers!C265:C1265,,0))</f>
        <v>lpennaccieo@statcounter.com</v>
      </c>
      <c r="H266" s="2" t="str">
        <f>_xlfn.XLOOKUP(orders!C266,customers!$A$1:$A$1001,customers!$G$1:$G$1001,,0)</f>
        <v>Ireland</v>
      </c>
      <c r="I266" t="str">
        <f>INDEX(products!$A$1:$G$49,MATCH(orders!$D266, products!$A$1:$A$49,0), MATCH(orders!I$1,products!$A$1:$G$1,0))</f>
        <v>Rob</v>
      </c>
      <c r="J266" t="str">
        <f>INDEX(products!$A$1:$G$49,MATCH(orders!$D266, products!$A$1:$A$49,0), MATCH(orders!J$1,products!$A$1:$G$1,0))</f>
        <v>L</v>
      </c>
      <c r="K266" s="4">
        <f>INDEX(products!$A$1:$G$49,MATCH(orders!$D266, products!$A$1:$A$49,0), MATCH(orders!K$1,products!$A$1:$G$1,0))</f>
        <v>1</v>
      </c>
      <c r="L266" s="5">
        <f>INDEX(products!$A$1:$G$49,MATCH(orders!$D266, products!$A$1:$A$49,0), MATCH(orders!L$1,products!$A$1:$G$1,0))</f>
        <v>11.95</v>
      </c>
      <c r="M266" s="5">
        <f t="shared" si="12"/>
        <v>59.75</v>
      </c>
      <c r="N266" t="str">
        <f t="shared" si="13"/>
        <v>Robusta</v>
      </c>
      <c r="O266" t="str">
        <f t="shared" si="14"/>
        <v>Light</v>
      </c>
      <c r="P266" t="str">
        <f>_xlfn.XLOOKUP(Table1[[#This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IF(_xlfn.XLOOKUP(C267,customers!$A$1:$A$1001,customers!C266:C1266,,0)=0,"",_xlfn.XLOOKUP(C267,customers!$A$1:$A$1001,customers!C266:C1266,,0))</f>
        <v>dfrieseq@cargocollective.com</v>
      </c>
      <c r="H267" s="2" t="str">
        <f>_xlfn.XLOOKUP(orders!C267,customers!$A$1:$A$1001,customers!$G$1:$G$1001,,0)</f>
        <v>United States</v>
      </c>
      <c r="I267" t="str">
        <f>INDEX(products!$A$1:$G$49,MATCH(orders!$D267, products!$A$1:$A$49,0), MATCH(orders!I$1,products!$A$1:$G$1,0))</f>
        <v>Ara</v>
      </c>
      <c r="J267" t="str">
        <f>INDEX(products!$A$1:$G$49,MATCH(orders!$D267, products!$A$1:$A$49,0), MATCH(orders!J$1,products!$A$1:$G$1,0))</f>
        <v>D</v>
      </c>
      <c r="K267" s="4">
        <f>INDEX(products!$A$1:$G$49,MATCH(orders!$D267, products!$A$1:$A$49,0), MATCH(orders!K$1,products!$A$1:$G$1,0))</f>
        <v>0.5</v>
      </c>
      <c r="L267" s="5">
        <f>INDEX(products!$A$1:$G$49,MATCH(orders!$D267, products!$A$1:$A$49,0), MATCH(orders!L$1,products!$A$1:$G$1,0))</f>
        <v>5.97</v>
      </c>
      <c r="M267" s="5">
        <f t="shared" si="12"/>
        <v>5.97</v>
      </c>
      <c r="N267" t="str">
        <f t="shared" si="13"/>
        <v>Arabica</v>
      </c>
      <c r="O267" t="str">
        <f t="shared" si="14"/>
        <v>Dark</v>
      </c>
      <c r="P267" t="str">
        <f>_xlfn.XLOOKUP(Table1[[#This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IF(_xlfn.XLOOKUP(C268,customers!$A$1:$A$1001,customers!C267:C1267,,0)=0,"",_xlfn.XLOOKUP(C268,customers!$A$1:$A$1001,customers!C267:C1267,,0))</f>
        <v>nnasebyes@umich.edu</v>
      </c>
      <c r="H268" s="2" t="str">
        <f>_xlfn.XLOOKUP(orders!C268,customers!$A$1:$A$1001,customers!$G$1:$G$1001,,0)</f>
        <v>United Kingdom</v>
      </c>
      <c r="I268" t="str">
        <f>INDEX(products!$A$1:$G$49,MATCH(orders!$D268, products!$A$1:$A$49,0), MATCH(orders!I$1,products!$A$1:$G$1,0))</f>
        <v>Exc</v>
      </c>
      <c r="J268" t="str">
        <f>INDEX(products!$A$1:$G$49,MATCH(orders!$D268, products!$A$1:$A$49,0), MATCH(orders!J$1,products!$A$1:$G$1,0))</f>
        <v>D</v>
      </c>
      <c r="K268" s="4">
        <f>INDEX(products!$A$1:$G$49,MATCH(orders!$D268, products!$A$1:$A$49,0), MATCH(orders!K$1,products!$A$1:$G$1,0))</f>
        <v>1</v>
      </c>
      <c r="L268" s="5">
        <f>INDEX(products!$A$1:$G$49,MATCH(orders!$D268, products!$A$1:$A$49,0), MATCH(orders!L$1,products!$A$1:$G$1,0))</f>
        <v>12.15</v>
      </c>
      <c r="M268" s="5">
        <f t="shared" si="12"/>
        <v>24.3</v>
      </c>
      <c r="N268" t="str">
        <f t="shared" si="13"/>
        <v>Excelsa</v>
      </c>
      <c r="O268" t="str">
        <f t="shared" si="14"/>
        <v>Dark</v>
      </c>
      <c r="P268" t="str">
        <f>_xlfn.XLOOKUP(Table1[[#This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IF(_xlfn.XLOOKUP(C269,customers!$A$1:$A$1001,customers!C268:C1268,,0)=0,"",_xlfn.XLOOKUP(C269,customers!$A$1:$A$1001,customers!C268:C1268,,0))</f>
        <v>koculleneu@ca.gov</v>
      </c>
      <c r="H269" s="2" t="str">
        <f>_xlfn.XLOOKUP(orders!C269,customers!$A$1:$A$1001,customers!$G$1:$G$1001,,0)</f>
        <v>United States</v>
      </c>
      <c r="I269" t="str">
        <f>INDEX(products!$A$1:$G$49,MATCH(orders!$D269, products!$A$1:$A$49,0), MATCH(orders!I$1,products!$A$1:$G$1,0))</f>
        <v>Exc</v>
      </c>
      <c r="J269" t="str">
        <f>INDEX(products!$A$1:$G$49,MATCH(orders!$D269, products!$A$1:$A$49,0), MATCH(orders!J$1,products!$A$1:$G$1,0))</f>
        <v>D</v>
      </c>
      <c r="K269" s="4">
        <f>INDEX(products!$A$1:$G$49,MATCH(orders!$D269, products!$A$1:$A$49,0), MATCH(orders!K$1,products!$A$1:$G$1,0))</f>
        <v>0.2</v>
      </c>
      <c r="L269" s="5">
        <f>INDEX(products!$A$1:$G$49,MATCH(orders!$D269, products!$A$1:$A$49,0), MATCH(orders!L$1,products!$A$1:$G$1,0))</f>
        <v>3.645</v>
      </c>
      <c r="M269" s="5">
        <f t="shared" si="12"/>
        <v>21.87</v>
      </c>
      <c r="N269" t="str">
        <f t="shared" si="13"/>
        <v>Excelsa</v>
      </c>
      <c r="O269" t="str">
        <f t="shared" si="14"/>
        <v>Dark</v>
      </c>
      <c r="P269" t="str">
        <f>_xlfn.XLOOKUP(Table1[[#This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IF(_xlfn.XLOOKUP(C270,customers!$A$1:$A$1001,customers!C269:C1269,,0)=0,"",_xlfn.XLOOKUP(C270,customers!$A$1:$A$1001,customers!C269:C1269,,0))</f>
        <v>abrashda@plala.or.jp</v>
      </c>
      <c r="H270" s="2" t="str">
        <f>_xlfn.XLOOKUP(orders!C270,customers!$A$1:$A$1001,customers!$G$1:$G$1001,,0)</f>
        <v>United States</v>
      </c>
      <c r="I270" t="str">
        <f>INDEX(products!$A$1:$G$49,MATCH(orders!$D270, products!$A$1:$A$49,0), MATCH(orders!I$1,products!$A$1:$G$1,0))</f>
        <v>Ara</v>
      </c>
      <c r="J270" t="str">
        <f>INDEX(products!$A$1:$G$49,MATCH(orders!$D270, products!$A$1:$A$49,0), MATCH(orders!J$1,products!$A$1:$G$1,0))</f>
        <v>D</v>
      </c>
      <c r="K270" s="4">
        <f>INDEX(products!$A$1:$G$49,MATCH(orders!$D270, products!$A$1:$A$49,0), MATCH(orders!K$1,products!$A$1:$G$1,0))</f>
        <v>1</v>
      </c>
      <c r="L270" s="5">
        <f>INDEX(products!$A$1:$G$49,MATCH(orders!$D270, products!$A$1:$A$49,0), MATCH(orders!L$1,products!$A$1:$G$1,0))</f>
        <v>9.9499999999999993</v>
      </c>
      <c r="M270" s="5">
        <f t="shared" si="12"/>
        <v>19.899999999999999</v>
      </c>
      <c r="N270" t="str">
        <f t="shared" si="13"/>
        <v>Arabica</v>
      </c>
      <c r="O270" t="str">
        <f t="shared" si="14"/>
        <v>Dark</v>
      </c>
      <c r="P270" t="str">
        <f>_xlfn.XLOOKUP(Table1[[#This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IF(_xlfn.XLOOKUP(C271,customers!$A$1:$A$1001,customers!C270:C1270,,0)=0,"",_xlfn.XLOOKUP(C271,customers!$A$1:$A$1001,customers!C270:C1270,,0))</f>
        <v>agallyoney@engadget.com</v>
      </c>
      <c r="H271" s="2" t="str">
        <f>_xlfn.XLOOKUP(orders!C271,customers!$A$1:$A$1001,customers!$G$1:$G$1001,,0)</f>
        <v>United States</v>
      </c>
      <c r="I271" t="str">
        <f>INDEX(products!$A$1:$G$49,MATCH(orders!$D271, products!$A$1:$A$49,0), MATCH(orders!I$1,products!$A$1:$G$1,0))</f>
        <v>Ara</v>
      </c>
      <c r="J271" t="str">
        <f>INDEX(products!$A$1:$G$49,MATCH(orders!$D271, products!$A$1:$A$49,0), MATCH(orders!J$1,products!$A$1:$G$1,0))</f>
        <v>D</v>
      </c>
      <c r="K271" s="4">
        <f>INDEX(products!$A$1:$G$49,MATCH(orders!$D271, products!$A$1:$A$49,0), MATCH(orders!K$1,products!$A$1:$G$1,0))</f>
        <v>0.2</v>
      </c>
      <c r="L271" s="5">
        <f>INDEX(products!$A$1:$G$49,MATCH(orders!$D271, products!$A$1:$A$49,0), MATCH(orders!L$1,products!$A$1:$G$1,0))</f>
        <v>2.9849999999999999</v>
      </c>
      <c r="M271" s="5">
        <f t="shared" si="12"/>
        <v>5.97</v>
      </c>
      <c r="N271" t="str">
        <f t="shared" si="13"/>
        <v>Arabica</v>
      </c>
      <c r="O271" t="str">
        <f t="shared" si="14"/>
        <v>Dark</v>
      </c>
      <c r="P271" t="str">
        <f>_xlfn.XLOOKUP(Table1[[#This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IF(_xlfn.XLOOKUP(C272,customers!$A$1:$A$1001,customers!C271:C1271,,0)=0,"",_xlfn.XLOOKUP(C272,customers!$A$1:$A$1001,customers!C271:C1271,,0))</f>
        <v>koslerf0@gmpg.org</v>
      </c>
      <c r="H272" s="2" t="str">
        <f>_xlfn.XLOOKUP(orders!C272,customers!$A$1:$A$1001,customers!$G$1:$G$1001,,0)</f>
        <v>Ireland</v>
      </c>
      <c r="I272" t="str">
        <f>INDEX(products!$A$1:$G$49,MATCH(orders!$D272, products!$A$1:$A$49,0), MATCH(orders!I$1,products!$A$1:$G$1,0))</f>
        <v>Exc</v>
      </c>
      <c r="J272" t="str">
        <f>INDEX(products!$A$1:$G$49,MATCH(orders!$D272, products!$A$1:$A$49,0), MATCH(orders!J$1,products!$A$1:$G$1,0))</f>
        <v>D</v>
      </c>
      <c r="K272" s="4">
        <f>INDEX(products!$A$1:$G$49,MATCH(orders!$D272, products!$A$1:$A$49,0), MATCH(orders!K$1,products!$A$1:$G$1,0))</f>
        <v>0.5</v>
      </c>
      <c r="L272" s="5">
        <f>INDEX(products!$A$1:$G$49,MATCH(orders!$D272, products!$A$1:$A$49,0), MATCH(orders!L$1,products!$A$1:$G$1,0))</f>
        <v>7.29</v>
      </c>
      <c r="M272" s="5">
        <f t="shared" si="12"/>
        <v>7.29</v>
      </c>
      <c r="N272" t="str">
        <f t="shared" si="13"/>
        <v>Excelsa</v>
      </c>
      <c r="O272" t="str">
        <f t="shared" si="14"/>
        <v>Dark</v>
      </c>
      <c r="P272" t="str">
        <f>_xlfn.XLOOKUP(Table1[[#This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IF(_xlfn.XLOOKUP(C273,customers!$A$1:$A$1001,customers!C272:C1272,,0)=0,"",_xlfn.XLOOKUP(C273,customers!$A$1:$A$1001,customers!C272:C1272,,0))</f>
        <v>zpellettf2@dailymotion.com</v>
      </c>
      <c r="H273" s="2" t="str">
        <f>_xlfn.XLOOKUP(orders!C273,customers!$A$1:$A$1001,customers!$G$1:$G$1001,,0)</f>
        <v>United States</v>
      </c>
      <c r="I273" t="str">
        <f>INDEX(products!$A$1:$G$49,MATCH(orders!$D273, products!$A$1:$A$49,0), MATCH(orders!I$1,products!$A$1:$G$1,0))</f>
        <v>Ara</v>
      </c>
      <c r="J273" t="str">
        <f>INDEX(products!$A$1:$G$49,MATCH(orders!$D273, products!$A$1:$A$49,0), MATCH(orders!J$1,products!$A$1:$G$1,0))</f>
        <v>D</v>
      </c>
      <c r="K273" s="4">
        <f>INDEX(products!$A$1:$G$49,MATCH(orders!$D273, products!$A$1:$A$49,0), MATCH(orders!K$1,products!$A$1:$G$1,0))</f>
        <v>0.2</v>
      </c>
      <c r="L273" s="5">
        <f>INDEX(products!$A$1:$G$49,MATCH(orders!$D273, products!$A$1:$A$49,0), MATCH(orders!L$1,products!$A$1:$G$1,0))</f>
        <v>2.9849999999999999</v>
      </c>
      <c r="M273" s="5">
        <f t="shared" si="12"/>
        <v>11.94</v>
      </c>
      <c r="N273" t="str">
        <f t="shared" si="13"/>
        <v>Arabica</v>
      </c>
      <c r="O273" t="str">
        <f t="shared" si="14"/>
        <v>Dark</v>
      </c>
      <c r="P273" t="str">
        <f>_xlfn.XLOOKUP(Table1[[#This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IF(_xlfn.XLOOKUP(C274,customers!$A$1:$A$1001,customers!C273:C1273,,0)=0,"",_xlfn.XLOOKUP(C274,customers!$A$1:$A$1001,customers!C273:C1273,,0))</f>
        <v>hfromantf4@ucsd.edu</v>
      </c>
      <c r="H274" s="2" t="str">
        <f>_xlfn.XLOOKUP(orders!C274,customers!$A$1:$A$1001,customers!$G$1:$G$1001,,0)</f>
        <v>Ireland</v>
      </c>
      <c r="I274" t="str">
        <f>INDEX(products!$A$1:$G$49,MATCH(orders!$D274, products!$A$1:$A$49,0), MATCH(orders!I$1,products!$A$1:$G$1,0))</f>
        <v>Rob</v>
      </c>
      <c r="J274" t="str">
        <f>INDEX(products!$A$1:$G$49,MATCH(orders!$D274, products!$A$1:$A$49,0), MATCH(orders!J$1,products!$A$1:$G$1,0))</f>
        <v>L</v>
      </c>
      <c r="K274" s="4">
        <f>INDEX(products!$A$1:$G$49,MATCH(orders!$D274, products!$A$1:$A$49,0), MATCH(orders!K$1,products!$A$1:$G$1,0))</f>
        <v>1</v>
      </c>
      <c r="L274" s="5">
        <f>INDEX(products!$A$1:$G$49,MATCH(orders!$D274, products!$A$1:$A$49,0), MATCH(orders!L$1,products!$A$1:$G$1,0))</f>
        <v>11.95</v>
      </c>
      <c r="M274" s="5">
        <f t="shared" si="12"/>
        <v>71.699999999999989</v>
      </c>
      <c r="N274" t="str">
        <f t="shared" si="13"/>
        <v>Robusta</v>
      </c>
      <c r="O274" t="str">
        <f t="shared" si="14"/>
        <v>Light</v>
      </c>
      <c r="P274" t="str">
        <f>_xlfn.XLOOKUP(Table1[[#This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IF(_xlfn.XLOOKUP(C275,customers!$A$1:$A$1001,customers!C274:C1274,,0)=0,"",_xlfn.XLOOKUP(C275,customers!$A$1:$A$1001,customers!C274:C1274,,0))</f>
        <v/>
      </c>
      <c r="H275" s="2" t="str">
        <f>_xlfn.XLOOKUP(orders!C275,customers!$A$1:$A$1001,customers!$G$1:$G$1001,,0)</f>
        <v>United States</v>
      </c>
      <c r="I275" t="str">
        <f>INDEX(products!$A$1:$G$49,MATCH(orders!$D275, products!$A$1:$A$49,0), MATCH(orders!I$1,products!$A$1:$G$1,0))</f>
        <v>Ara</v>
      </c>
      <c r="J275" t="str">
        <f>INDEX(products!$A$1:$G$49,MATCH(orders!$D275, products!$A$1:$A$49,0), MATCH(orders!J$1,products!$A$1:$G$1,0))</f>
        <v>L</v>
      </c>
      <c r="K275" s="4">
        <f>INDEX(products!$A$1:$G$49,MATCH(orders!$D275, products!$A$1:$A$49,0), MATCH(orders!K$1,products!$A$1:$G$1,0))</f>
        <v>0.2</v>
      </c>
      <c r="L275" s="5">
        <f>INDEX(products!$A$1:$G$49,MATCH(orders!$D275, products!$A$1:$A$49,0), MATCH(orders!L$1,products!$A$1:$G$1,0))</f>
        <v>3.8849999999999998</v>
      </c>
      <c r="M275" s="5">
        <f t="shared" si="12"/>
        <v>7.77</v>
      </c>
      <c r="N275" t="str">
        <f t="shared" si="13"/>
        <v>Arabica</v>
      </c>
      <c r="O275" t="str">
        <f t="shared" si="14"/>
        <v>Light</v>
      </c>
      <c r="P275" t="str">
        <f>_xlfn.XLOOKUP(Table1[[#This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IF(_xlfn.XLOOKUP(C276,customers!$A$1:$A$1001,customers!C275:C1275,,0)=0,"",_xlfn.XLOOKUP(C276,customers!$A$1:$A$1001,customers!C275:C1275,,0))</f>
        <v>bmundenf8@elpais.com</v>
      </c>
      <c r="H276" s="2" t="str">
        <f>_xlfn.XLOOKUP(orders!C276,customers!$A$1:$A$1001,customers!$G$1:$G$1001,,0)</f>
        <v>United States</v>
      </c>
      <c r="I276" t="str">
        <f>INDEX(products!$A$1:$G$49,MATCH(orders!$D276, products!$A$1:$A$49,0), MATCH(orders!I$1,products!$A$1:$G$1,0))</f>
        <v>Ara</v>
      </c>
      <c r="J276" t="str">
        <f>INDEX(products!$A$1:$G$49,MATCH(orders!$D276, products!$A$1:$A$49,0), MATCH(orders!J$1,products!$A$1:$G$1,0))</f>
        <v>M</v>
      </c>
      <c r="K276" s="4">
        <f>INDEX(products!$A$1:$G$49,MATCH(orders!$D276, products!$A$1:$A$49,0), MATCH(orders!K$1,products!$A$1:$G$1,0))</f>
        <v>2.5</v>
      </c>
      <c r="L276" s="5">
        <f>INDEX(products!$A$1:$G$49,MATCH(orders!$D276, products!$A$1:$A$49,0), MATCH(orders!L$1,products!$A$1:$G$1,0))</f>
        <v>25.874999999999996</v>
      </c>
      <c r="M276" s="5">
        <f t="shared" si="12"/>
        <v>25.874999999999996</v>
      </c>
      <c r="N276" t="str">
        <f t="shared" si="13"/>
        <v>Arabica</v>
      </c>
      <c r="O276" t="str">
        <f t="shared" si="14"/>
        <v>Medium</v>
      </c>
      <c r="P276" t="str">
        <f>_xlfn.XLOOKUP(Table1[[#This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IF(_xlfn.XLOOKUP(C277,customers!$A$1:$A$1001,customers!C276:C1276,,0)=0,"",_xlfn.XLOOKUP(C277,customers!$A$1:$A$1001,customers!C276:C1276,,0))</f>
        <v>nbrakespearfa@rediff.com</v>
      </c>
      <c r="H277" s="2" t="str">
        <f>_xlfn.XLOOKUP(orders!C277,customers!$A$1:$A$1001,customers!$G$1:$G$1001,,0)</f>
        <v>United States</v>
      </c>
      <c r="I277" t="str">
        <f>INDEX(products!$A$1:$G$49,MATCH(orders!$D277, products!$A$1:$A$49,0), MATCH(orders!I$1,products!$A$1:$G$1,0))</f>
        <v>Exc</v>
      </c>
      <c r="J277" t="str">
        <f>INDEX(products!$A$1:$G$49,MATCH(orders!$D277, products!$A$1:$A$49,0), MATCH(orders!J$1,products!$A$1:$G$1,0))</f>
        <v>L</v>
      </c>
      <c r="K277" s="4">
        <f>INDEX(products!$A$1:$G$49,MATCH(orders!$D277, products!$A$1:$A$49,0), MATCH(orders!K$1,products!$A$1:$G$1,0))</f>
        <v>2.5</v>
      </c>
      <c r="L277" s="5">
        <f>INDEX(products!$A$1:$G$49,MATCH(orders!$D277, products!$A$1:$A$49,0), MATCH(orders!L$1,products!$A$1:$G$1,0))</f>
        <v>34.154999999999994</v>
      </c>
      <c r="M277" s="5">
        <f t="shared" si="12"/>
        <v>204.92999999999995</v>
      </c>
      <c r="N277" t="str">
        <f t="shared" si="13"/>
        <v>Excelsa</v>
      </c>
      <c r="O277" t="str">
        <f t="shared" si="14"/>
        <v>Light</v>
      </c>
      <c r="P277" t="str">
        <f>_xlfn.XLOOKUP(Table1[[#This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IF(_xlfn.XLOOKUP(C278,customers!$A$1:$A$1001,customers!C277:C1277,,0)=0,"",_xlfn.XLOOKUP(C278,customers!$A$1:$A$1001,customers!C277:C1277,,0))</f>
        <v>galbertsfc@etsy.com</v>
      </c>
      <c r="H278" s="2" t="str">
        <f>_xlfn.XLOOKUP(orders!C278,customers!$A$1:$A$1001,customers!$G$1:$G$1001,,0)</f>
        <v>Ireland</v>
      </c>
      <c r="I278" t="str">
        <f>INDEX(products!$A$1:$G$49,MATCH(orders!$D278, products!$A$1:$A$49,0), MATCH(orders!I$1,products!$A$1:$G$1,0))</f>
        <v>Rob</v>
      </c>
      <c r="J278" t="str">
        <f>INDEX(products!$A$1:$G$49,MATCH(orders!$D278, products!$A$1:$A$49,0), MATCH(orders!J$1,products!$A$1:$G$1,0))</f>
        <v>L</v>
      </c>
      <c r="K278" s="4">
        <f>INDEX(products!$A$1:$G$49,MATCH(orders!$D278, products!$A$1:$A$49,0), MATCH(orders!K$1,products!$A$1:$G$1,0))</f>
        <v>2.5</v>
      </c>
      <c r="L278" s="5">
        <f>INDEX(products!$A$1:$G$49,MATCH(orders!$D278, products!$A$1:$A$49,0), MATCH(orders!L$1,products!$A$1:$G$1,0))</f>
        <v>27.484999999999996</v>
      </c>
      <c r="M278" s="5">
        <f t="shared" si="12"/>
        <v>109.93999999999998</v>
      </c>
      <c r="N278" t="str">
        <f t="shared" si="13"/>
        <v>Robusta</v>
      </c>
      <c r="O278" t="str">
        <f t="shared" si="14"/>
        <v>Light</v>
      </c>
      <c r="P278" t="str">
        <f>_xlfn.XLOOKUP(Table1[[#This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IF(_xlfn.XLOOKUP(C279,customers!$A$1:$A$1001,customers!C278:C1278,,0)=0,"",_xlfn.XLOOKUP(C279,customers!$A$1:$A$1001,customers!C278:C1278,,0))</f>
        <v/>
      </c>
      <c r="H279" s="2" t="str">
        <f>_xlfn.XLOOKUP(orders!C279,customers!$A$1:$A$1001,customers!$G$1:$G$1001,,0)</f>
        <v>United States</v>
      </c>
      <c r="I279" t="str">
        <f>INDEX(products!$A$1:$G$49,MATCH(orders!$D279, products!$A$1:$A$49,0), MATCH(orders!I$1,products!$A$1:$G$1,0))</f>
        <v>Exc</v>
      </c>
      <c r="J279" t="str">
        <f>INDEX(products!$A$1:$G$49,MATCH(orders!$D279, products!$A$1:$A$49,0), MATCH(orders!J$1,products!$A$1:$G$1,0))</f>
        <v>L</v>
      </c>
      <c r="K279" s="4">
        <f>INDEX(products!$A$1:$G$49,MATCH(orders!$D279, products!$A$1:$A$49,0), MATCH(orders!K$1,products!$A$1:$G$1,0))</f>
        <v>1</v>
      </c>
      <c r="L279" s="5">
        <f>INDEX(products!$A$1:$G$49,MATCH(orders!$D279, products!$A$1:$A$49,0), MATCH(orders!L$1,products!$A$1:$G$1,0))</f>
        <v>14.85</v>
      </c>
      <c r="M279" s="5">
        <f t="shared" si="12"/>
        <v>89.1</v>
      </c>
      <c r="N279" t="str">
        <f t="shared" si="13"/>
        <v>Excelsa</v>
      </c>
      <c r="O279" t="str">
        <f t="shared" si="14"/>
        <v>Light</v>
      </c>
      <c r="P279" t="str">
        <f>_xlfn.XLOOKUP(Table1[[#This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IF(_xlfn.XLOOKUP(C280,customers!$A$1:$A$1001,customers!C279:C1279,,0)=0,"",_xlfn.XLOOKUP(C280,customers!$A$1:$A$1001,customers!C279:C1279,,0))</f>
        <v>craisbeckfg@webnode.com</v>
      </c>
      <c r="H280" s="2" t="str">
        <f>_xlfn.XLOOKUP(orders!C280,customers!$A$1:$A$1001,customers!$G$1:$G$1001,,0)</f>
        <v>United States</v>
      </c>
      <c r="I280" t="str">
        <f>INDEX(products!$A$1:$G$49,MATCH(orders!$D280, products!$A$1:$A$49,0), MATCH(orders!I$1,products!$A$1:$G$1,0))</f>
        <v>Ara</v>
      </c>
      <c r="J280" t="str">
        <f>INDEX(products!$A$1:$G$49,MATCH(orders!$D280, products!$A$1:$A$49,0), MATCH(orders!J$1,products!$A$1:$G$1,0))</f>
        <v>L</v>
      </c>
      <c r="K280" s="4">
        <f>INDEX(products!$A$1:$G$49,MATCH(orders!$D280, products!$A$1:$A$49,0), MATCH(orders!K$1,products!$A$1:$G$1,0))</f>
        <v>0.2</v>
      </c>
      <c r="L280" s="5">
        <f>INDEX(products!$A$1:$G$49,MATCH(orders!$D280, products!$A$1:$A$49,0), MATCH(orders!L$1,products!$A$1:$G$1,0))</f>
        <v>3.8849999999999998</v>
      </c>
      <c r="M280" s="5">
        <f t="shared" si="12"/>
        <v>7.77</v>
      </c>
      <c r="N280" t="str">
        <f t="shared" si="13"/>
        <v>Arabica</v>
      </c>
      <c r="O280" t="str">
        <f t="shared" si="14"/>
        <v>Light</v>
      </c>
      <c r="P280" t="str">
        <f>_xlfn.XLOOKUP(Table1[[#This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IF(_xlfn.XLOOKUP(C281,customers!$A$1:$A$1001,customers!C280:C1280,,0)=0,"",_xlfn.XLOOKUP(C281,customers!$A$1:$A$1001,customers!C280:C1280,,0))</f>
        <v/>
      </c>
      <c r="H281" s="2" t="str">
        <f>_xlfn.XLOOKUP(orders!C281,customers!$A$1:$A$1001,customers!$G$1:$G$1001,,0)</f>
        <v>United States</v>
      </c>
      <c r="I281" t="str">
        <f>INDEX(products!$A$1:$G$49,MATCH(orders!$D281, products!$A$1:$A$49,0), MATCH(orders!I$1,products!$A$1:$G$1,0))</f>
        <v>Lib</v>
      </c>
      <c r="J281" t="str">
        <f>INDEX(products!$A$1:$G$49,MATCH(orders!$D281, products!$A$1:$A$49,0), MATCH(orders!J$1,products!$A$1:$G$1,0))</f>
        <v>M</v>
      </c>
      <c r="K281" s="4">
        <f>INDEX(products!$A$1:$G$49,MATCH(orders!$D281, products!$A$1:$A$49,0), MATCH(orders!K$1,products!$A$1:$G$1,0))</f>
        <v>2.5</v>
      </c>
      <c r="L281" s="5">
        <f>INDEX(products!$A$1:$G$49,MATCH(orders!$D281, products!$A$1:$A$49,0), MATCH(orders!L$1,products!$A$1:$G$1,0))</f>
        <v>33.464999999999996</v>
      </c>
      <c r="M281" s="5">
        <f t="shared" si="12"/>
        <v>33.464999999999996</v>
      </c>
      <c r="N281" t="str">
        <f t="shared" si="13"/>
        <v>Liberica</v>
      </c>
      <c r="O281" t="str">
        <f t="shared" si="14"/>
        <v>Medium</v>
      </c>
      <c r="P281" t="str">
        <f>_xlfn.XLOOKUP(Table1[[#This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IF(_xlfn.XLOOKUP(C282,customers!$A$1:$A$1001,customers!C281:C1281,,0)=0,"",_xlfn.XLOOKUP(C282,customers!$A$1:$A$1001,customers!C281:C1281,,0))</f>
        <v/>
      </c>
      <c r="H282" s="2" t="str">
        <f>_xlfn.XLOOKUP(orders!C282,customers!$A$1:$A$1001,customers!$G$1:$G$1001,,0)</f>
        <v>United States</v>
      </c>
      <c r="I282" t="str">
        <f>INDEX(products!$A$1:$G$49,MATCH(orders!$D282, products!$A$1:$A$49,0), MATCH(orders!I$1,products!$A$1:$G$1,0))</f>
        <v>Exc</v>
      </c>
      <c r="J282" t="str">
        <f>INDEX(products!$A$1:$G$49,MATCH(orders!$D282, products!$A$1:$A$49,0), MATCH(orders!J$1,products!$A$1:$G$1,0))</f>
        <v>M</v>
      </c>
      <c r="K282" s="4">
        <f>INDEX(products!$A$1:$G$49,MATCH(orders!$D282, products!$A$1:$A$49,0), MATCH(orders!K$1,products!$A$1:$G$1,0))</f>
        <v>0.5</v>
      </c>
      <c r="L282" s="5">
        <f>INDEX(products!$A$1:$G$49,MATCH(orders!$D282, products!$A$1:$A$49,0), MATCH(orders!L$1,products!$A$1:$G$1,0))</f>
        <v>8.25</v>
      </c>
      <c r="M282" s="5">
        <f t="shared" si="12"/>
        <v>41.25</v>
      </c>
      <c r="N282" t="str">
        <f t="shared" si="13"/>
        <v>Excelsa</v>
      </c>
      <c r="O282" t="str">
        <f t="shared" si="14"/>
        <v>Medium</v>
      </c>
      <c r="P282" t="str">
        <f>_xlfn.XLOOKUP(Table1[[#This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IF(_xlfn.XLOOKUP(C283,customers!$A$1:$A$1001,customers!C282:C1282,,0)=0,"",_xlfn.XLOOKUP(C283,customers!$A$1:$A$1001,customers!C282:C1282,,0))</f>
        <v>bgrecefm@naver.com</v>
      </c>
      <c r="H283" s="2" t="str">
        <f>_xlfn.XLOOKUP(orders!C283,customers!$A$1:$A$1001,customers!$G$1:$G$1001,,0)</f>
        <v>United States</v>
      </c>
      <c r="I283" t="str">
        <f>INDEX(products!$A$1:$G$49,MATCH(orders!$D283, products!$A$1:$A$49,0), MATCH(orders!I$1,products!$A$1:$G$1,0))</f>
        <v>Exc</v>
      </c>
      <c r="J283" t="str">
        <f>INDEX(products!$A$1:$G$49,MATCH(orders!$D283, products!$A$1:$A$49,0), MATCH(orders!J$1,products!$A$1:$G$1,0))</f>
        <v>L</v>
      </c>
      <c r="K283" s="4">
        <f>INDEX(products!$A$1:$G$49,MATCH(orders!$D283, products!$A$1:$A$49,0), MATCH(orders!K$1,products!$A$1:$G$1,0))</f>
        <v>1</v>
      </c>
      <c r="L283" s="5">
        <f>INDEX(products!$A$1:$G$49,MATCH(orders!$D283, products!$A$1:$A$49,0), MATCH(orders!L$1,products!$A$1:$G$1,0))</f>
        <v>14.85</v>
      </c>
      <c r="M283" s="5">
        <f t="shared" si="12"/>
        <v>59.4</v>
      </c>
      <c r="N283" t="str">
        <f t="shared" si="13"/>
        <v>Excelsa</v>
      </c>
      <c r="O283" t="str">
        <f t="shared" si="14"/>
        <v>Light</v>
      </c>
      <c r="P283" t="str">
        <f>_xlfn.XLOOKUP(Table1[[#This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IF(_xlfn.XLOOKUP(C284,customers!$A$1:$A$1001,customers!C283:C1283,,0)=0,"",_xlfn.XLOOKUP(C284,customers!$A$1:$A$1001,customers!C283:C1283,,0))</f>
        <v>athysfo@cdc.gov</v>
      </c>
      <c r="H284" s="2" t="str">
        <f>_xlfn.XLOOKUP(orders!C284,customers!$A$1:$A$1001,customers!$G$1:$G$1001,,0)</f>
        <v>United Kingdom</v>
      </c>
      <c r="I284" t="str">
        <f>INDEX(products!$A$1:$G$49,MATCH(orders!$D284, products!$A$1:$A$49,0), MATCH(orders!I$1,products!$A$1:$G$1,0))</f>
        <v>Ara</v>
      </c>
      <c r="J284" t="str">
        <f>INDEX(products!$A$1:$G$49,MATCH(orders!$D284, products!$A$1:$A$49,0), MATCH(orders!J$1,products!$A$1:$G$1,0))</f>
        <v>L</v>
      </c>
      <c r="K284" s="4">
        <f>INDEX(products!$A$1:$G$49,MATCH(orders!$D284, products!$A$1:$A$49,0), MATCH(orders!K$1,products!$A$1:$G$1,0))</f>
        <v>0.5</v>
      </c>
      <c r="L284" s="5">
        <f>INDEX(products!$A$1:$G$49,MATCH(orders!$D284, products!$A$1:$A$49,0), MATCH(orders!L$1,products!$A$1:$G$1,0))</f>
        <v>7.77</v>
      </c>
      <c r="M284" s="5">
        <f t="shared" si="12"/>
        <v>7.77</v>
      </c>
      <c r="N284" t="str">
        <f t="shared" si="13"/>
        <v>Arabica</v>
      </c>
      <c r="O284" t="str">
        <f t="shared" si="14"/>
        <v>Light</v>
      </c>
      <c r="P284" t="str">
        <f>_xlfn.XLOOKUP(Table1[[#This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IF(_xlfn.XLOOKUP(C285,customers!$A$1:$A$1001,customers!C284:C1284,,0)=0,"",_xlfn.XLOOKUP(C285,customers!$A$1:$A$1001,customers!C284:C1284,,0))</f>
        <v>akelstonfq@sakura.ne.jp</v>
      </c>
      <c r="H285" s="2" t="str">
        <f>_xlfn.XLOOKUP(orders!C285,customers!$A$1:$A$1001,customers!$G$1:$G$1001,,0)</f>
        <v>United Kingdom</v>
      </c>
      <c r="I285" t="str">
        <f>INDEX(products!$A$1:$G$49,MATCH(orders!$D285, products!$A$1:$A$49,0), MATCH(orders!I$1,products!$A$1:$G$1,0))</f>
        <v>Rob</v>
      </c>
      <c r="J285" t="str">
        <f>INDEX(products!$A$1:$G$49,MATCH(orders!$D285, products!$A$1:$A$49,0), MATCH(orders!J$1,products!$A$1:$G$1,0))</f>
        <v>D</v>
      </c>
      <c r="K285" s="4">
        <f>INDEX(products!$A$1:$G$49,MATCH(orders!$D285, products!$A$1:$A$49,0), MATCH(orders!K$1,products!$A$1:$G$1,0))</f>
        <v>0.5</v>
      </c>
      <c r="L285" s="5">
        <f>INDEX(products!$A$1:$G$49,MATCH(orders!$D285, products!$A$1:$A$49,0), MATCH(orders!L$1,products!$A$1:$G$1,0))</f>
        <v>5.3699999999999992</v>
      </c>
      <c r="M285" s="5">
        <f t="shared" si="12"/>
        <v>5.3699999999999992</v>
      </c>
      <c r="N285" t="str">
        <f t="shared" si="13"/>
        <v>Robusta</v>
      </c>
      <c r="O285" t="str">
        <f t="shared" si="14"/>
        <v>Dark</v>
      </c>
      <c r="P285" t="str">
        <f>_xlfn.XLOOKUP(Table1[[#This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IF(_xlfn.XLOOKUP(C286,customers!$A$1:$A$1001,customers!C285:C1285,,0)=0,"",_xlfn.XLOOKUP(C286,customers!$A$1:$A$1001,customers!C285:C1285,,0))</f>
        <v>cmottramfs@harvard.edu</v>
      </c>
      <c r="H286" s="2" t="str">
        <f>_xlfn.XLOOKUP(orders!C286,customers!$A$1:$A$1001,customers!$G$1:$G$1001,,0)</f>
        <v>United States</v>
      </c>
      <c r="I286" t="str">
        <f>INDEX(products!$A$1:$G$49,MATCH(orders!$D286, products!$A$1:$A$49,0), MATCH(orders!I$1,products!$A$1:$G$1,0))</f>
        <v>Exc</v>
      </c>
      <c r="J286" t="str">
        <f>INDEX(products!$A$1:$G$49,MATCH(orders!$D286, products!$A$1:$A$49,0), MATCH(orders!J$1,products!$A$1:$G$1,0))</f>
        <v>M</v>
      </c>
      <c r="K286" s="4">
        <f>INDEX(products!$A$1:$G$49,MATCH(orders!$D286, products!$A$1:$A$49,0), MATCH(orders!K$1,products!$A$1:$G$1,0))</f>
        <v>2.5</v>
      </c>
      <c r="L286" s="5">
        <f>INDEX(products!$A$1:$G$49,MATCH(orders!$D286, products!$A$1:$A$49,0), MATCH(orders!L$1,products!$A$1:$G$1,0))</f>
        <v>31.624999999999996</v>
      </c>
      <c r="M286" s="5">
        <f t="shared" si="12"/>
        <v>94.874999999999986</v>
      </c>
      <c r="N286" t="str">
        <f t="shared" si="13"/>
        <v>Excelsa</v>
      </c>
      <c r="O286" t="str">
        <f t="shared" si="14"/>
        <v>Medium</v>
      </c>
      <c r="P286" t="str">
        <f>_xlfn.XLOOKUP(Table1[[#This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IF(_xlfn.XLOOKUP(C287,customers!$A$1:$A$1001,customers!C286:C1286,,0)=0,"",_xlfn.XLOOKUP(C287,customers!$A$1:$A$1001,customers!C286:C1286,,0))</f>
        <v>dsangwinfu@weebly.com</v>
      </c>
      <c r="H287" s="2" t="str">
        <f>_xlfn.XLOOKUP(orders!C287,customers!$A$1:$A$1001,customers!$G$1:$G$1001,,0)</f>
        <v>United States</v>
      </c>
      <c r="I287" t="str">
        <f>INDEX(products!$A$1:$G$49,MATCH(orders!$D287, products!$A$1:$A$49,0), MATCH(orders!I$1,products!$A$1:$G$1,0))</f>
        <v>Lib</v>
      </c>
      <c r="J287" t="str">
        <f>INDEX(products!$A$1:$G$49,MATCH(orders!$D287, products!$A$1:$A$49,0), MATCH(orders!J$1,products!$A$1:$G$1,0))</f>
        <v>L</v>
      </c>
      <c r="K287" s="4">
        <f>INDEX(products!$A$1:$G$49,MATCH(orders!$D287, products!$A$1:$A$49,0), MATCH(orders!K$1,products!$A$1:$G$1,0))</f>
        <v>2.5</v>
      </c>
      <c r="L287" s="5">
        <f>INDEX(products!$A$1:$G$49,MATCH(orders!$D287, products!$A$1:$A$49,0), MATCH(orders!L$1,products!$A$1:$G$1,0))</f>
        <v>36.454999999999998</v>
      </c>
      <c r="M287" s="5">
        <f t="shared" si="12"/>
        <v>36.454999999999998</v>
      </c>
      <c r="N287" t="str">
        <f t="shared" si="13"/>
        <v>Liberica</v>
      </c>
      <c r="O287" t="str">
        <f t="shared" si="14"/>
        <v>Light</v>
      </c>
      <c r="P287" t="str">
        <f>_xlfn.XLOOKUP(Table1[[#This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IF(_xlfn.XLOOKUP(C288,customers!$A$1:$A$1001,customers!C287:C1287,,0)=0,"",_xlfn.XLOOKUP(C288,customers!$A$1:$A$1001,customers!C287:C1287,,0))</f>
        <v/>
      </c>
      <c r="H288" s="2" t="str">
        <f>_xlfn.XLOOKUP(orders!C288,customers!$A$1:$A$1001,customers!$G$1:$G$1001,,0)</f>
        <v>United States</v>
      </c>
      <c r="I288" t="str">
        <f>INDEX(products!$A$1:$G$49,MATCH(orders!$D288, products!$A$1:$A$49,0), MATCH(orders!I$1,products!$A$1:$G$1,0))</f>
        <v>Ara</v>
      </c>
      <c r="J288" t="str">
        <f>INDEX(products!$A$1:$G$49,MATCH(orders!$D288, products!$A$1:$A$49,0), MATCH(orders!J$1,products!$A$1:$G$1,0))</f>
        <v>M</v>
      </c>
      <c r="K288" s="4">
        <f>INDEX(products!$A$1:$G$49,MATCH(orders!$D288, products!$A$1:$A$49,0), MATCH(orders!K$1,products!$A$1:$G$1,0))</f>
        <v>0.2</v>
      </c>
      <c r="L288" s="5">
        <f>INDEX(products!$A$1:$G$49,MATCH(orders!$D288, products!$A$1:$A$49,0), MATCH(orders!L$1,products!$A$1:$G$1,0))</f>
        <v>3.375</v>
      </c>
      <c r="M288" s="5">
        <f t="shared" si="12"/>
        <v>13.5</v>
      </c>
      <c r="N288" t="str">
        <f t="shared" si="13"/>
        <v>Arabica</v>
      </c>
      <c r="O288" t="str">
        <f t="shared" si="14"/>
        <v>Medium</v>
      </c>
      <c r="P288" t="str">
        <f>_xlfn.XLOOKUP(Table1[[#This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IF(_xlfn.XLOOKUP(C289,customers!$A$1:$A$1001,customers!C288:C1288,,0)=0,"",_xlfn.XLOOKUP(C289,customers!$A$1:$A$1001,customers!C288:C1288,,0))</f>
        <v>mharbyfy@163.com</v>
      </c>
      <c r="H289" s="2" t="str">
        <f>_xlfn.XLOOKUP(orders!C289,customers!$A$1:$A$1001,customers!$G$1:$G$1001,,0)</f>
        <v>United States</v>
      </c>
      <c r="I289" t="str">
        <f>INDEX(products!$A$1:$G$49,MATCH(orders!$D289, products!$A$1:$A$49,0), MATCH(orders!I$1,products!$A$1:$G$1,0))</f>
        <v>Rob</v>
      </c>
      <c r="J289" t="str">
        <f>INDEX(products!$A$1:$G$49,MATCH(orders!$D289, products!$A$1:$A$49,0), MATCH(orders!J$1,products!$A$1:$G$1,0))</f>
        <v>L</v>
      </c>
      <c r="K289" s="4">
        <f>INDEX(products!$A$1:$G$49,MATCH(orders!$D289, products!$A$1:$A$49,0), MATCH(orders!K$1,products!$A$1:$G$1,0))</f>
        <v>0.2</v>
      </c>
      <c r="L289" s="5">
        <f>INDEX(products!$A$1:$G$49,MATCH(orders!$D289, products!$A$1:$A$49,0), MATCH(orders!L$1,products!$A$1:$G$1,0))</f>
        <v>3.5849999999999995</v>
      </c>
      <c r="M289" s="5">
        <f t="shared" si="12"/>
        <v>14.339999999999998</v>
      </c>
      <c r="N289" t="str">
        <f t="shared" si="13"/>
        <v>Robusta</v>
      </c>
      <c r="O289" t="str">
        <f t="shared" si="14"/>
        <v>Light</v>
      </c>
      <c r="P289" t="str">
        <f>_xlfn.XLOOKUP(Table1[[#This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IF(_xlfn.XLOOKUP(C290,customers!$A$1:$A$1001,customers!C289:C1289,,0)=0,"",_xlfn.XLOOKUP(C290,customers!$A$1:$A$1001,customers!C289:C1289,,0))</f>
        <v>pormerodg0@redcross.org</v>
      </c>
      <c r="H290" s="2" t="str">
        <f>_xlfn.XLOOKUP(orders!C290,customers!$A$1:$A$1001,customers!$G$1:$G$1001,,0)</f>
        <v>Ireland</v>
      </c>
      <c r="I290" t="str">
        <f>INDEX(products!$A$1:$G$49,MATCH(orders!$D290, products!$A$1:$A$49,0), MATCH(orders!I$1,products!$A$1:$G$1,0))</f>
        <v>Exc</v>
      </c>
      <c r="J290" t="str">
        <f>INDEX(products!$A$1:$G$49,MATCH(orders!$D290, products!$A$1:$A$49,0), MATCH(orders!J$1,products!$A$1:$G$1,0))</f>
        <v>M</v>
      </c>
      <c r="K290" s="4">
        <f>INDEX(products!$A$1:$G$49,MATCH(orders!$D290, products!$A$1:$A$49,0), MATCH(orders!K$1,products!$A$1:$G$1,0))</f>
        <v>0.5</v>
      </c>
      <c r="L290" s="5">
        <f>INDEX(products!$A$1:$G$49,MATCH(orders!$D290, products!$A$1:$A$49,0), MATCH(orders!L$1,products!$A$1:$G$1,0))</f>
        <v>8.25</v>
      </c>
      <c r="M290" s="5">
        <f t="shared" si="12"/>
        <v>8.25</v>
      </c>
      <c r="N290" t="str">
        <f t="shared" si="13"/>
        <v>Excelsa</v>
      </c>
      <c r="O290" t="str">
        <f t="shared" si="14"/>
        <v>Medium</v>
      </c>
      <c r="P290" t="str">
        <f>_xlfn.XLOOKUP(Table1[[#This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IF(_xlfn.XLOOKUP(C291,customers!$A$1:$A$1001,customers!C290:C1290,,0)=0,"",_xlfn.XLOOKUP(C291,customers!$A$1:$A$1001,customers!C290:C1290,,0))</f>
        <v>tzanettig2@gravatar.com</v>
      </c>
      <c r="H291" s="2" t="str">
        <f>_xlfn.XLOOKUP(orders!C291,customers!$A$1:$A$1001,customers!$G$1:$G$1001,,0)</f>
        <v>United States</v>
      </c>
      <c r="I291" t="str">
        <f>INDEX(products!$A$1:$G$49,MATCH(orders!$D291, products!$A$1:$A$49,0), MATCH(orders!I$1,products!$A$1:$G$1,0))</f>
        <v>Rob</v>
      </c>
      <c r="J291" t="str">
        <f>INDEX(products!$A$1:$G$49,MATCH(orders!$D291, products!$A$1:$A$49,0), MATCH(orders!J$1,products!$A$1:$G$1,0))</f>
        <v>D</v>
      </c>
      <c r="K291" s="4">
        <f>INDEX(products!$A$1:$G$49,MATCH(orders!$D291, products!$A$1:$A$49,0), MATCH(orders!K$1,products!$A$1:$G$1,0))</f>
        <v>0.2</v>
      </c>
      <c r="L291" s="5">
        <f>INDEX(products!$A$1:$G$49,MATCH(orders!$D291, products!$A$1:$A$49,0), MATCH(orders!L$1,products!$A$1:$G$1,0))</f>
        <v>2.6849999999999996</v>
      </c>
      <c r="M291" s="5">
        <f t="shared" si="12"/>
        <v>13.424999999999997</v>
      </c>
      <c r="N291" t="str">
        <f t="shared" si="13"/>
        <v>Robusta</v>
      </c>
      <c r="O291" t="str">
        <f t="shared" si="14"/>
        <v>Dark</v>
      </c>
      <c r="P291" t="str">
        <f>_xlfn.XLOOKUP(Table1[[#This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IF(_xlfn.XLOOKUP(C292,customers!$A$1:$A$1001,customers!C291:C1291,,0)=0,"",_xlfn.XLOOKUP(C292,customers!$A$1:$A$1001,customers!C291:C1291,,0))</f>
        <v>rkirtleyg4@hatena.ne.jp</v>
      </c>
      <c r="H292" s="2" t="str">
        <f>_xlfn.XLOOKUP(orders!C292,customers!$A$1:$A$1001,customers!$G$1:$G$1001,,0)</f>
        <v>United States</v>
      </c>
      <c r="I292" t="str">
        <f>INDEX(products!$A$1:$G$49,MATCH(orders!$D292, products!$A$1:$A$49,0), MATCH(orders!I$1,products!$A$1:$G$1,0))</f>
        <v>Ara</v>
      </c>
      <c r="J292" t="str">
        <f>INDEX(products!$A$1:$G$49,MATCH(orders!$D292, products!$A$1:$A$49,0), MATCH(orders!J$1,products!$A$1:$G$1,0))</f>
        <v>D</v>
      </c>
      <c r="K292" s="4">
        <f>INDEX(products!$A$1:$G$49,MATCH(orders!$D292, products!$A$1:$A$49,0), MATCH(orders!K$1,products!$A$1:$G$1,0))</f>
        <v>1</v>
      </c>
      <c r="L292" s="5">
        <f>INDEX(products!$A$1:$G$49,MATCH(orders!$D292, products!$A$1:$A$49,0), MATCH(orders!L$1,products!$A$1:$G$1,0))</f>
        <v>9.9499999999999993</v>
      </c>
      <c r="M292" s="5">
        <f t="shared" si="12"/>
        <v>49.75</v>
      </c>
      <c r="N292" t="str">
        <f t="shared" si="13"/>
        <v>Arabica</v>
      </c>
      <c r="O292" t="str">
        <f t="shared" si="14"/>
        <v>Dark</v>
      </c>
      <c r="P292" t="str">
        <f>_xlfn.XLOOKUP(Table1[[#This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IF(_xlfn.XLOOKUP(C293,customers!$A$1:$A$1001,customers!C292:C1292,,0)=0,"",_xlfn.XLOOKUP(C293,customers!$A$1:$A$1001,customers!C292:C1292,,0))</f>
        <v>rdonetg6@oakley.com</v>
      </c>
      <c r="H293" s="2" t="str">
        <f>_xlfn.XLOOKUP(orders!C293,customers!$A$1:$A$1001,customers!$G$1:$G$1001,,0)</f>
        <v>Ireland</v>
      </c>
      <c r="I293" t="str">
        <f>INDEX(products!$A$1:$G$49,MATCH(orders!$D293, products!$A$1:$A$49,0), MATCH(orders!I$1,products!$A$1:$G$1,0))</f>
        <v>Exc</v>
      </c>
      <c r="J293" t="str">
        <f>INDEX(products!$A$1:$G$49,MATCH(orders!$D293, products!$A$1:$A$49,0), MATCH(orders!J$1,products!$A$1:$G$1,0))</f>
        <v>M</v>
      </c>
      <c r="K293" s="4">
        <f>INDEX(products!$A$1:$G$49,MATCH(orders!$D293, products!$A$1:$A$49,0), MATCH(orders!K$1,products!$A$1:$G$1,0))</f>
        <v>0.5</v>
      </c>
      <c r="L293" s="5">
        <f>INDEX(products!$A$1:$G$49,MATCH(orders!$D293, products!$A$1:$A$49,0), MATCH(orders!L$1,products!$A$1:$G$1,0))</f>
        <v>8.25</v>
      </c>
      <c r="M293" s="5">
        <f t="shared" si="12"/>
        <v>16.5</v>
      </c>
      <c r="N293" t="str">
        <f t="shared" si="13"/>
        <v>Excelsa</v>
      </c>
      <c r="O293" t="str">
        <f t="shared" si="14"/>
        <v>Medium</v>
      </c>
      <c r="P293" t="str">
        <f>_xlfn.XLOOKUP(Table1[[#This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IF(_xlfn.XLOOKUP(C294,customers!$A$1:$A$1001,customers!C293:C1293,,0)=0,"",_xlfn.XLOOKUP(C294,customers!$A$1:$A$1001,customers!C293:C1293,,0))</f>
        <v>rreadieg8@guardian.co.uk</v>
      </c>
      <c r="H294" s="2" t="str">
        <f>_xlfn.XLOOKUP(orders!C294,customers!$A$1:$A$1001,customers!$G$1:$G$1001,,0)</f>
        <v>United States</v>
      </c>
      <c r="I294" t="str">
        <f>INDEX(products!$A$1:$G$49,MATCH(orders!$D294, products!$A$1:$A$49,0), MATCH(orders!I$1,products!$A$1:$G$1,0))</f>
        <v>Ara</v>
      </c>
      <c r="J294" t="str">
        <f>INDEX(products!$A$1:$G$49,MATCH(orders!$D294, products!$A$1:$A$49,0), MATCH(orders!J$1,products!$A$1:$G$1,0))</f>
        <v>D</v>
      </c>
      <c r="K294" s="4">
        <f>INDEX(products!$A$1:$G$49,MATCH(orders!$D294, products!$A$1:$A$49,0), MATCH(orders!K$1,products!$A$1:$G$1,0))</f>
        <v>0.5</v>
      </c>
      <c r="L294" s="5">
        <f>INDEX(products!$A$1:$G$49,MATCH(orders!$D294, products!$A$1:$A$49,0), MATCH(orders!L$1,products!$A$1:$G$1,0))</f>
        <v>5.97</v>
      </c>
      <c r="M294" s="5">
        <f t="shared" si="12"/>
        <v>17.91</v>
      </c>
      <c r="N294" t="str">
        <f t="shared" si="13"/>
        <v>Arabica</v>
      </c>
      <c r="O294" t="str">
        <f t="shared" si="14"/>
        <v>Dark</v>
      </c>
      <c r="P294" t="str">
        <f>_xlfn.XLOOKUP(Table1[[#This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IF(_xlfn.XLOOKUP(C295,customers!$A$1:$A$1001,customers!C294:C1294,,0)=0,"",_xlfn.XLOOKUP(C295,customers!$A$1:$A$1001,customers!C294:C1294,,0))</f>
        <v/>
      </c>
      <c r="H295" s="2" t="str">
        <f>_xlfn.XLOOKUP(orders!C295,customers!$A$1:$A$1001,customers!$G$1:$G$1001,,0)</f>
        <v>United States</v>
      </c>
      <c r="I295" t="str">
        <f>INDEX(products!$A$1:$G$49,MATCH(orders!$D295, products!$A$1:$A$49,0), MATCH(orders!I$1,products!$A$1:$G$1,0))</f>
        <v>Ara</v>
      </c>
      <c r="J295" t="str">
        <f>INDEX(products!$A$1:$G$49,MATCH(orders!$D295, products!$A$1:$A$49,0), MATCH(orders!J$1,products!$A$1:$G$1,0))</f>
        <v>D</v>
      </c>
      <c r="K295" s="4">
        <f>INDEX(products!$A$1:$G$49,MATCH(orders!$D295, products!$A$1:$A$49,0), MATCH(orders!K$1,products!$A$1:$G$1,0))</f>
        <v>0.5</v>
      </c>
      <c r="L295" s="5">
        <f>INDEX(products!$A$1:$G$49,MATCH(orders!$D295, products!$A$1:$A$49,0), MATCH(orders!L$1,products!$A$1:$G$1,0))</f>
        <v>5.97</v>
      </c>
      <c r="M295" s="5">
        <f t="shared" si="12"/>
        <v>29.849999999999998</v>
      </c>
      <c r="N295" t="str">
        <f t="shared" si="13"/>
        <v>Arabica</v>
      </c>
      <c r="O295" t="str">
        <f t="shared" si="14"/>
        <v>Dark</v>
      </c>
      <c r="P295" t="str">
        <f>_xlfn.XLOOKUP(Table1[[#This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IF(_xlfn.XLOOKUP(C296,customers!$A$1:$A$1001,customers!C295:C1295,,0)=0,"",_xlfn.XLOOKUP(C296,customers!$A$1:$A$1001,customers!C295:C1295,,0))</f>
        <v>vstansburygc@unblog.fr</v>
      </c>
      <c r="H296" s="2" t="str">
        <f>_xlfn.XLOOKUP(orders!C296,customers!$A$1:$A$1001,customers!$G$1:$G$1001,,0)</f>
        <v>United States</v>
      </c>
      <c r="I296" t="str">
        <f>INDEX(products!$A$1:$G$49,MATCH(orders!$D296, products!$A$1:$A$49,0), MATCH(orders!I$1,products!$A$1:$G$1,0))</f>
        <v>Exc</v>
      </c>
      <c r="J296" t="str">
        <f>INDEX(products!$A$1:$G$49,MATCH(orders!$D296, products!$A$1:$A$49,0), MATCH(orders!J$1,products!$A$1:$G$1,0))</f>
        <v>L</v>
      </c>
      <c r="K296" s="4">
        <f>INDEX(products!$A$1:$G$49,MATCH(orders!$D296, products!$A$1:$A$49,0), MATCH(orders!K$1,products!$A$1:$G$1,0))</f>
        <v>1</v>
      </c>
      <c r="L296" s="5">
        <f>INDEX(products!$A$1:$G$49,MATCH(orders!$D296, products!$A$1:$A$49,0), MATCH(orders!L$1,products!$A$1:$G$1,0))</f>
        <v>14.85</v>
      </c>
      <c r="M296" s="5">
        <f t="shared" si="12"/>
        <v>44.55</v>
      </c>
      <c r="N296" t="str">
        <f t="shared" si="13"/>
        <v>Excelsa</v>
      </c>
      <c r="O296" t="str">
        <f t="shared" si="14"/>
        <v>Light</v>
      </c>
      <c r="P296" t="str">
        <f>_xlfn.XLOOKUP(Table1[[#This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IF(_xlfn.XLOOKUP(C297,customers!$A$1:$A$1001,customers!C296:C1296,,0)=0,"",_xlfn.XLOOKUP(C297,customers!$A$1:$A$1001,customers!C296:C1296,,0))</f>
        <v>jshentonge@google.com.hk</v>
      </c>
      <c r="H297" s="2" t="str">
        <f>_xlfn.XLOOKUP(orders!C297,customers!$A$1:$A$1001,customers!$G$1:$G$1001,,0)</f>
        <v>United States</v>
      </c>
      <c r="I297" t="str">
        <f>INDEX(products!$A$1:$G$49,MATCH(orders!$D297, products!$A$1:$A$49,0), MATCH(orders!I$1,products!$A$1:$G$1,0))</f>
        <v>Exc</v>
      </c>
      <c r="J297" t="str">
        <f>INDEX(products!$A$1:$G$49,MATCH(orders!$D297, products!$A$1:$A$49,0), MATCH(orders!J$1,products!$A$1:$G$1,0))</f>
        <v>M</v>
      </c>
      <c r="K297" s="4">
        <f>INDEX(products!$A$1:$G$49,MATCH(orders!$D297, products!$A$1:$A$49,0), MATCH(orders!K$1,products!$A$1:$G$1,0))</f>
        <v>1</v>
      </c>
      <c r="L297" s="5">
        <f>INDEX(products!$A$1:$G$49,MATCH(orders!$D297, products!$A$1:$A$49,0), MATCH(orders!L$1,products!$A$1:$G$1,0))</f>
        <v>13.75</v>
      </c>
      <c r="M297" s="5">
        <f t="shared" si="12"/>
        <v>27.5</v>
      </c>
      <c r="N297" t="str">
        <f t="shared" si="13"/>
        <v>Excelsa</v>
      </c>
      <c r="O297" t="str">
        <f t="shared" si="14"/>
        <v>Medium</v>
      </c>
      <c r="P297" t="str">
        <f>_xlfn.XLOOKUP(Table1[[#This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IF(_xlfn.XLOOKUP(C298,customers!$A$1:$A$1001,customers!C297:C1297,,0)=0,"",_xlfn.XLOOKUP(C298,customers!$A$1:$A$1001,customers!C297:C1297,,0))</f>
        <v/>
      </c>
      <c r="H298" s="2" t="str">
        <f>_xlfn.XLOOKUP(orders!C298,customers!$A$1:$A$1001,customers!$G$1:$G$1001,,0)</f>
        <v>United States</v>
      </c>
      <c r="I298" t="str">
        <f>INDEX(products!$A$1:$G$49,MATCH(orders!$D298, products!$A$1:$A$49,0), MATCH(orders!I$1,products!$A$1:$G$1,0))</f>
        <v>Rob</v>
      </c>
      <c r="J298" t="str">
        <f>INDEX(products!$A$1:$G$49,MATCH(orders!$D298, products!$A$1:$A$49,0), MATCH(orders!J$1,products!$A$1:$G$1,0))</f>
        <v>M</v>
      </c>
      <c r="K298" s="4">
        <f>INDEX(products!$A$1:$G$49,MATCH(orders!$D298, products!$A$1:$A$49,0), MATCH(orders!K$1,products!$A$1:$G$1,0))</f>
        <v>0.5</v>
      </c>
      <c r="L298" s="5">
        <f>INDEX(products!$A$1:$G$49,MATCH(orders!$D298, products!$A$1:$A$49,0), MATCH(orders!L$1,products!$A$1:$G$1,0))</f>
        <v>5.97</v>
      </c>
      <c r="M298" s="5">
        <f t="shared" si="12"/>
        <v>35.82</v>
      </c>
      <c r="N298" t="str">
        <f t="shared" si="13"/>
        <v>Robusta</v>
      </c>
      <c r="O298" t="str">
        <f t="shared" si="14"/>
        <v>Medium</v>
      </c>
      <c r="P298" t="str">
        <f>_xlfn.XLOOKUP(Table1[[#This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IF(_xlfn.XLOOKUP(C299,customers!$A$1:$A$1001,customers!C298:C1298,,0)=0,"",_xlfn.XLOOKUP(C299,customers!$A$1:$A$1001,customers!C298:C1298,,0))</f>
        <v>gstarcksgi@abc.net.au</v>
      </c>
      <c r="H299" s="2" t="str">
        <f>_xlfn.XLOOKUP(orders!C299,customers!$A$1:$A$1001,customers!$G$1:$G$1001,,0)</f>
        <v>United States</v>
      </c>
      <c r="I299" t="str">
        <f>INDEX(products!$A$1:$G$49,MATCH(orders!$D299, products!$A$1:$A$49,0), MATCH(orders!I$1,products!$A$1:$G$1,0))</f>
        <v>Rob</v>
      </c>
      <c r="J299" t="str">
        <f>INDEX(products!$A$1:$G$49,MATCH(orders!$D299, products!$A$1:$A$49,0), MATCH(orders!J$1,products!$A$1:$G$1,0))</f>
        <v>D</v>
      </c>
      <c r="K299" s="4">
        <f>INDEX(products!$A$1:$G$49,MATCH(orders!$D299, products!$A$1:$A$49,0), MATCH(orders!K$1,products!$A$1:$G$1,0))</f>
        <v>0.5</v>
      </c>
      <c r="L299" s="5">
        <f>INDEX(products!$A$1:$G$49,MATCH(orders!$D299, products!$A$1:$A$49,0), MATCH(orders!L$1,products!$A$1:$G$1,0))</f>
        <v>5.3699999999999992</v>
      </c>
      <c r="M299" s="5">
        <f t="shared" si="12"/>
        <v>16.11</v>
      </c>
      <c r="N299" t="str">
        <f t="shared" si="13"/>
        <v>Robusta</v>
      </c>
      <c r="O299" t="str">
        <f t="shared" si="14"/>
        <v>Dark</v>
      </c>
      <c r="P299" t="str">
        <f>_xlfn.XLOOKUP(Table1[[#This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IF(_xlfn.XLOOKUP(C300,customers!$A$1:$A$1001,customers!C299:C1299,,0)=0,"",_xlfn.XLOOKUP(C300,customers!$A$1:$A$1001,customers!C299:C1299,,0))</f>
        <v>kscholardgk@sbwire.com</v>
      </c>
      <c r="H300" s="2" t="str">
        <f>_xlfn.XLOOKUP(orders!C300,customers!$A$1:$A$1001,customers!$G$1:$G$1001,,0)</f>
        <v>United States</v>
      </c>
      <c r="I300" t="str">
        <f>INDEX(products!$A$1:$G$49,MATCH(orders!$D300, products!$A$1:$A$49,0), MATCH(orders!I$1,products!$A$1:$G$1,0))</f>
        <v>Exc</v>
      </c>
      <c r="J300" t="str">
        <f>INDEX(products!$A$1:$G$49,MATCH(orders!$D300, products!$A$1:$A$49,0), MATCH(orders!J$1,products!$A$1:$G$1,0))</f>
        <v>L</v>
      </c>
      <c r="K300" s="4">
        <f>INDEX(products!$A$1:$G$49,MATCH(orders!$D300, products!$A$1:$A$49,0), MATCH(orders!K$1,products!$A$1:$G$1,0))</f>
        <v>0.2</v>
      </c>
      <c r="L300" s="5">
        <f>INDEX(products!$A$1:$G$49,MATCH(orders!$D300, products!$A$1:$A$49,0), MATCH(orders!L$1,products!$A$1:$G$1,0))</f>
        <v>4.4550000000000001</v>
      </c>
      <c r="M300" s="5">
        <f t="shared" si="12"/>
        <v>26.73</v>
      </c>
      <c r="N300" t="str">
        <f t="shared" si="13"/>
        <v>Excelsa</v>
      </c>
      <c r="O300" t="str">
        <f t="shared" si="14"/>
        <v>Light</v>
      </c>
      <c r="P300" t="str">
        <f>_xlfn.XLOOKUP(Table1[[#This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IF(_xlfn.XLOOKUP(C301,customers!$A$1:$A$1001,customers!C300:C1300,,0)=0,"",_xlfn.XLOOKUP(C301,customers!$A$1:$A$1001,customers!C300:C1300,,0))</f>
        <v>khammettgm@dmoz.org</v>
      </c>
      <c r="H301" s="2" t="str">
        <f>_xlfn.XLOOKUP(orders!C301,customers!$A$1:$A$1001,customers!$G$1:$G$1001,,0)</f>
        <v>United States</v>
      </c>
      <c r="I301" t="str">
        <f>INDEX(products!$A$1:$G$49,MATCH(orders!$D301, products!$A$1:$A$49,0), MATCH(orders!I$1,products!$A$1:$G$1,0))</f>
        <v>Exc</v>
      </c>
      <c r="J301" t="str">
        <f>INDEX(products!$A$1:$G$49,MATCH(orders!$D301, products!$A$1:$A$49,0), MATCH(orders!J$1,products!$A$1:$G$1,0))</f>
        <v>L</v>
      </c>
      <c r="K301" s="4">
        <f>INDEX(products!$A$1:$G$49,MATCH(orders!$D301, products!$A$1:$A$49,0), MATCH(orders!K$1,products!$A$1:$G$1,0))</f>
        <v>2.5</v>
      </c>
      <c r="L301" s="5">
        <f>INDEX(products!$A$1:$G$49,MATCH(orders!$D301, products!$A$1:$A$49,0), MATCH(orders!L$1,products!$A$1:$G$1,0))</f>
        <v>34.154999999999994</v>
      </c>
      <c r="M301" s="5">
        <f t="shared" si="12"/>
        <v>204.92999999999995</v>
      </c>
      <c r="N301" t="str">
        <f t="shared" si="13"/>
        <v>Excelsa</v>
      </c>
      <c r="O301" t="str">
        <f t="shared" si="14"/>
        <v>Light</v>
      </c>
      <c r="P301" t="str">
        <f>_xlfn.XLOOKUP(Table1[[#This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IF(_xlfn.XLOOKUP(C302,customers!$A$1:$A$1001,customers!C301:C1301,,0)=0,"",_xlfn.XLOOKUP(C302,customers!$A$1:$A$1001,customers!C301:C1301,,0))</f>
        <v>plauritzengo@photobucket.com</v>
      </c>
      <c r="H302" s="2" t="str">
        <f>_xlfn.XLOOKUP(orders!C302,customers!$A$1:$A$1001,customers!$G$1:$G$1001,,0)</f>
        <v>United States</v>
      </c>
      <c r="I302" t="str">
        <f>INDEX(products!$A$1:$G$49,MATCH(orders!$D302, products!$A$1:$A$49,0), MATCH(orders!I$1,products!$A$1:$G$1,0))</f>
        <v>Ara</v>
      </c>
      <c r="J302" t="str">
        <f>INDEX(products!$A$1:$G$49,MATCH(orders!$D302, products!$A$1:$A$49,0), MATCH(orders!J$1,products!$A$1:$G$1,0))</f>
        <v>L</v>
      </c>
      <c r="K302" s="4">
        <f>INDEX(products!$A$1:$G$49,MATCH(orders!$D302, products!$A$1:$A$49,0), MATCH(orders!K$1,products!$A$1:$G$1,0))</f>
        <v>1</v>
      </c>
      <c r="L302" s="5">
        <f>INDEX(products!$A$1:$G$49,MATCH(orders!$D302, products!$A$1:$A$49,0), MATCH(orders!L$1,products!$A$1:$G$1,0))</f>
        <v>12.95</v>
      </c>
      <c r="M302" s="5">
        <f t="shared" si="12"/>
        <v>38.849999999999994</v>
      </c>
      <c r="N302" t="str">
        <f t="shared" si="13"/>
        <v>Arabica</v>
      </c>
      <c r="O302" t="str">
        <f t="shared" si="14"/>
        <v>Light</v>
      </c>
      <c r="P302" t="str">
        <f>_xlfn.XLOOKUP(Table1[[#This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IF(_xlfn.XLOOKUP(C303,customers!$A$1:$A$1001,customers!C302:C1302,,0)=0,"",_xlfn.XLOOKUP(C303,customers!$A$1:$A$1001,customers!C302:C1302,,0))</f>
        <v>erolingq@google.fr</v>
      </c>
      <c r="H303" s="2" t="str">
        <f>_xlfn.XLOOKUP(orders!C303,customers!$A$1:$A$1001,customers!$G$1:$G$1001,,0)</f>
        <v>United States</v>
      </c>
      <c r="I303" t="str">
        <f>INDEX(products!$A$1:$G$49,MATCH(orders!$D303, products!$A$1:$A$49,0), MATCH(orders!I$1,products!$A$1:$G$1,0))</f>
        <v>Lib</v>
      </c>
      <c r="J303" t="str">
        <f>INDEX(products!$A$1:$G$49,MATCH(orders!$D303, products!$A$1:$A$49,0), MATCH(orders!J$1,products!$A$1:$G$1,0))</f>
        <v>D</v>
      </c>
      <c r="K303" s="4">
        <f>INDEX(products!$A$1:$G$49,MATCH(orders!$D303, products!$A$1:$A$49,0), MATCH(orders!K$1,products!$A$1:$G$1,0))</f>
        <v>0.2</v>
      </c>
      <c r="L303" s="5">
        <f>INDEX(products!$A$1:$G$49,MATCH(orders!$D303, products!$A$1:$A$49,0), MATCH(orders!L$1,products!$A$1:$G$1,0))</f>
        <v>3.8849999999999998</v>
      </c>
      <c r="M303" s="5">
        <f t="shared" si="12"/>
        <v>15.54</v>
      </c>
      <c r="N303" t="str">
        <f t="shared" si="13"/>
        <v>Liberica</v>
      </c>
      <c r="O303" t="str">
        <f t="shared" si="14"/>
        <v>Dark</v>
      </c>
      <c r="P303" t="str">
        <f>_xlfn.XLOOKUP(Table1[[#This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IF(_xlfn.XLOOKUP(C304,customers!$A$1:$A$1001,customers!C303:C1303,,0)=0,"",_xlfn.XLOOKUP(C304,customers!$A$1:$A$1001,customers!C303:C1303,,0))</f>
        <v/>
      </c>
      <c r="H304" s="2" t="str">
        <f>_xlfn.XLOOKUP(orders!C304,customers!$A$1:$A$1001,customers!$G$1:$G$1001,,0)</f>
        <v>United States</v>
      </c>
      <c r="I304" t="str">
        <f>INDEX(products!$A$1:$G$49,MATCH(orders!$D304, products!$A$1:$A$49,0), MATCH(orders!I$1,products!$A$1:$G$1,0))</f>
        <v>Ara</v>
      </c>
      <c r="J304" t="str">
        <f>INDEX(products!$A$1:$G$49,MATCH(orders!$D304, products!$A$1:$A$49,0), MATCH(orders!J$1,products!$A$1:$G$1,0))</f>
        <v>M</v>
      </c>
      <c r="K304" s="4">
        <f>INDEX(products!$A$1:$G$49,MATCH(orders!$D304, products!$A$1:$A$49,0), MATCH(orders!K$1,products!$A$1:$G$1,0))</f>
        <v>0.5</v>
      </c>
      <c r="L304" s="5">
        <f>INDEX(products!$A$1:$G$49,MATCH(orders!$D304, products!$A$1:$A$49,0), MATCH(orders!L$1,products!$A$1:$G$1,0))</f>
        <v>6.75</v>
      </c>
      <c r="M304" s="5">
        <f t="shared" si="12"/>
        <v>6.75</v>
      </c>
      <c r="N304" t="str">
        <f t="shared" si="13"/>
        <v>Arabica</v>
      </c>
      <c r="O304" t="str">
        <f t="shared" si="14"/>
        <v>Medium</v>
      </c>
      <c r="P304" t="str">
        <f>_xlfn.XLOOKUP(Table1[[#This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IF(_xlfn.XLOOKUP(C305,customers!$A$1:$A$1001,customers!C304:C1304,,0)=0,"",_xlfn.XLOOKUP(C305,customers!$A$1:$A$1001,customers!C304:C1304,,0))</f>
        <v>bpeattiegu@imgur.com</v>
      </c>
      <c r="H305" s="2" t="str">
        <f>_xlfn.XLOOKUP(orders!C305,customers!$A$1:$A$1001,customers!$G$1:$G$1001,,0)</f>
        <v>United States</v>
      </c>
      <c r="I305" t="str">
        <f>INDEX(products!$A$1:$G$49,MATCH(orders!$D305, products!$A$1:$A$49,0), MATCH(orders!I$1,products!$A$1:$G$1,0))</f>
        <v>Exc</v>
      </c>
      <c r="J305" t="str">
        <f>INDEX(products!$A$1:$G$49,MATCH(orders!$D305, products!$A$1:$A$49,0), MATCH(orders!J$1,products!$A$1:$G$1,0))</f>
        <v>D</v>
      </c>
      <c r="K305" s="4">
        <f>INDEX(products!$A$1:$G$49,MATCH(orders!$D305, products!$A$1:$A$49,0), MATCH(orders!K$1,products!$A$1:$G$1,0))</f>
        <v>2.5</v>
      </c>
      <c r="L305" s="5">
        <f>INDEX(products!$A$1:$G$49,MATCH(orders!$D305, products!$A$1:$A$49,0), MATCH(orders!L$1,products!$A$1:$G$1,0))</f>
        <v>27.945</v>
      </c>
      <c r="M305" s="5">
        <f t="shared" si="12"/>
        <v>111.78</v>
      </c>
      <c r="N305" t="str">
        <f t="shared" si="13"/>
        <v>Excelsa</v>
      </c>
      <c r="O305" t="str">
        <f t="shared" si="14"/>
        <v>Dark</v>
      </c>
      <c r="P305" t="str">
        <f>_xlfn.XLOOKUP(Table1[[#This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IF(_xlfn.XLOOKUP(C306,customers!$A$1:$A$1001,customers!C305:C1305,,0)=0,"",_xlfn.XLOOKUP(C306,customers!$A$1:$A$1001,customers!C305:C1305,,0))</f>
        <v>scouronneh3@mozilla.org</v>
      </c>
      <c r="H306" s="2" t="str">
        <f>_xlfn.XLOOKUP(orders!C306,customers!$A$1:$A$1001,customers!$G$1:$G$1001,,0)</f>
        <v>United States</v>
      </c>
      <c r="I306" t="str">
        <f>INDEX(products!$A$1:$G$49,MATCH(orders!$D306, products!$A$1:$A$49,0), MATCH(orders!I$1,products!$A$1:$G$1,0))</f>
        <v>Ara</v>
      </c>
      <c r="J306" t="str">
        <f>INDEX(products!$A$1:$G$49,MATCH(orders!$D306, products!$A$1:$A$49,0), MATCH(orders!J$1,products!$A$1:$G$1,0))</f>
        <v>L</v>
      </c>
      <c r="K306" s="4">
        <f>INDEX(products!$A$1:$G$49,MATCH(orders!$D306, products!$A$1:$A$49,0), MATCH(orders!K$1,products!$A$1:$G$1,0))</f>
        <v>0.2</v>
      </c>
      <c r="L306" s="5">
        <f>INDEX(products!$A$1:$G$49,MATCH(orders!$D306, products!$A$1:$A$49,0), MATCH(orders!L$1,products!$A$1:$G$1,0))</f>
        <v>3.8849999999999998</v>
      </c>
      <c r="M306" s="5">
        <f t="shared" si="12"/>
        <v>3.8849999999999998</v>
      </c>
      <c r="N306" t="str">
        <f t="shared" si="13"/>
        <v>Arabica</v>
      </c>
      <c r="O306" t="str">
        <f t="shared" si="14"/>
        <v>Light</v>
      </c>
      <c r="P306" t="str">
        <f>_xlfn.XLOOKUP(Table1[[#This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IF(_xlfn.XLOOKUP(C307,customers!$A$1:$A$1001,customers!C306:C1306,,0)=0,"",_xlfn.XLOOKUP(C307,customers!$A$1:$A$1001,customers!C306:C1306,,0))</f>
        <v>acleyburngy@lycos.com</v>
      </c>
      <c r="H307" s="2" t="str">
        <f>_xlfn.XLOOKUP(orders!C307,customers!$A$1:$A$1001,customers!$G$1:$G$1001,,0)</f>
        <v>United Kingdom</v>
      </c>
      <c r="I307" t="str">
        <f>INDEX(products!$A$1:$G$49,MATCH(orders!$D307, products!$A$1:$A$49,0), MATCH(orders!I$1,products!$A$1:$G$1,0))</f>
        <v>Lib</v>
      </c>
      <c r="J307" t="str">
        <f>INDEX(products!$A$1:$G$49,MATCH(orders!$D307, products!$A$1:$A$49,0), MATCH(orders!J$1,products!$A$1:$G$1,0))</f>
        <v>M</v>
      </c>
      <c r="K307" s="4">
        <f>INDEX(products!$A$1:$G$49,MATCH(orders!$D307, products!$A$1:$A$49,0), MATCH(orders!K$1,products!$A$1:$G$1,0))</f>
        <v>0.2</v>
      </c>
      <c r="L307" s="5">
        <f>INDEX(products!$A$1:$G$49,MATCH(orders!$D307, products!$A$1:$A$49,0), MATCH(orders!L$1,products!$A$1:$G$1,0))</f>
        <v>4.3650000000000002</v>
      </c>
      <c r="M307" s="5">
        <f t="shared" si="12"/>
        <v>21.825000000000003</v>
      </c>
      <c r="N307" t="str">
        <f t="shared" si="13"/>
        <v>Liberica</v>
      </c>
      <c r="O307" t="str">
        <f t="shared" si="14"/>
        <v>Medium</v>
      </c>
      <c r="P307" t="str">
        <f>_xlfn.XLOOKUP(Table1[[#This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IF(_xlfn.XLOOKUP(C308,customers!$A$1:$A$1001,customers!C307:C1307,,0)=0,"",_xlfn.XLOOKUP(C308,customers!$A$1:$A$1001,customers!C307:C1307,,0))</f>
        <v/>
      </c>
      <c r="H308" s="2" t="str">
        <f>_xlfn.XLOOKUP(orders!C308,customers!$A$1:$A$1001,customers!$G$1:$G$1001,,0)</f>
        <v>United States</v>
      </c>
      <c r="I308" t="str">
        <f>INDEX(products!$A$1:$G$49,MATCH(orders!$D308, products!$A$1:$A$49,0), MATCH(orders!I$1,products!$A$1:$G$1,0))</f>
        <v>Rob</v>
      </c>
      <c r="J308" t="str">
        <f>INDEX(products!$A$1:$G$49,MATCH(orders!$D308, products!$A$1:$A$49,0), MATCH(orders!J$1,products!$A$1:$G$1,0))</f>
        <v>M</v>
      </c>
      <c r="K308" s="4">
        <f>INDEX(products!$A$1:$G$49,MATCH(orders!$D308, products!$A$1:$A$49,0), MATCH(orders!K$1,products!$A$1:$G$1,0))</f>
        <v>0.2</v>
      </c>
      <c r="L308" s="5">
        <f>INDEX(products!$A$1:$G$49,MATCH(orders!$D308, products!$A$1:$A$49,0), MATCH(orders!L$1,products!$A$1:$G$1,0))</f>
        <v>2.9849999999999999</v>
      </c>
      <c r="M308" s="5">
        <f t="shared" si="12"/>
        <v>14.924999999999999</v>
      </c>
      <c r="N308" t="str">
        <f t="shared" si="13"/>
        <v>Robusta</v>
      </c>
      <c r="O308" t="str">
        <f t="shared" si="14"/>
        <v>Medium</v>
      </c>
      <c r="P308" t="str">
        <f>_xlfn.XLOOKUP(Table1[[#This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IF(_xlfn.XLOOKUP(C309,customers!$A$1:$A$1001,customers!C308:C1308,,0)=0,"",_xlfn.XLOOKUP(C309,customers!$A$1:$A$1001,customers!C308:C1308,,0))</f>
        <v/>
      </c>
      <c r="H309" s="2" t="str">
        <f>_xlfn.XLOOKUP(orders!C309,customers!$A$1:$A$1001,customers!$G$1:$G$1001,,0)</f>
        <v>United States</v>
      </c>
      <c r="I309" t="str">
        <f>INDEX(products!$A$1:$G$49,MATCH(orders!$D309, products!$A$1:$A$49,0), MATCH(orders!I$1,products!$A$1:$G$1,0))</f>
        <v>Ara</v>
      </c>
      <c r="J309" t="str">
        <f>INDEX(products!$A$1:$G$49,MATCH(orders!$D309, products!$A$1:$A$49,0), MATCH(orders!J$1,products!$A$1:$G$1,0))</f>
        <v>M</v>
      </c>
      <c r="K309" s="4">
        <f>INDEX(products!$A$1:$G$49,MATCH(orders!$D309, products!$A$1:$A$49,0), MATCH(orders!K$1,products!$A$1:$G$1,0))</f>
        <v>1</v>
      </c>
      <c r="L309" s="5">
        <f>INDEX(products!$A$1:$G$49,MATCH(orders!$D309, products!$A$1:$A$49,0), MATCH(orders!L$1,products!$A$1:$G$1,0))</f>
        <v>11.25</v>
      </c>
      <c r="M309" s="5">
        <f t="shared" si="12"/>
        <v>33.75</v>
      </c>
      <c r="N309" t="str">
        <f t="shared" si="13"/>
        <v>Arabica</v>
      </c>
      <c r="O309" t="str">
        <f t="shared" si="14"/>
        <v>Medium</v>
      </c>
      <c r="P309" t="str">
        <f>_xlfn.XLOOKUP(Table1[[#This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IF(_xlfn.XLOOKUP(C310,customers!$A$1:$A$1001,customers!C309:C1309,,0)=0,"",_xlfn.XLOOKUP(C310,customers!$A$1:$A$1001,customers!C309:C1309,,0))</f>
        <v>lflippellih4@github.io</v>
      </c>
      <c r="H310" s="2" t="str">
        <f>_xlfn.XLOOKUP(orders!C310,customers!$A$1:$A$1001,customers!$G$1:$G$1001,,0)</f>
        <v>United Kingdom</v>
      </c>
      <c r="I310" t="str">
        <f>INDEX(products!$A$1:$G$49,MATCH(orders!$D310, products!$A$1:$A$49,0), MATCH(orders!I$1,products!$A$1:$G$1,0))</f>
        <v>Ara</v>
      </c>
      <c r="J310" t="str">
        <f>INDEX(products!$A$1:$G$49,MATCH(orders!$D310, products!$A$1:$A$49,0), MATCH(orders!J$1,products!$A$1:$G$1,0))</f>
        <v>M</v>
      </c>
      <c r="K310" s="4">
        <f>INDEX(products!$A$1:$G$49,MATCH(orders!$D310, products!$A$1:$A$49,0), MATCH(orders!K$1,products!$A$1:$G$1,0))</f>
        <v>1</v>
      </c>
      <c r="L310" s="5">
        <f>INDEX(products!$A$1:$G$49,MATCH(orders!$D310, products!$A$1:$A$49,0), MATCH(orders!L$1,products!$A$1:$G$1,0))</f>
        <v>11.25</v>
      </c>
      <c r="M310" s="5">
        <f t="shared" si="12"/>
        <v>33.75</v>
      </c>
      <c r="N310" t="str">
        <f t="shared" si="13"/>
        <v>Arabica</v>
      </c>
      <c r="O310" t="str">
        <f t="shared" si="14"/>
        <v>Medium</v>
      </c>
      <c r="P310" t="str">
        <f>_xlfn.XLOOKUP(Table1[[#This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IF(_xlfn.XLOOKUP(C311,customers!$A$1:$A$1001,customers!C310:C1310,,0)=0,"",_xlfn.XLOOKUP(C311,customers!$A$1:$A$1001,customers!C310:C1310,,0))</f>
        <v>irenhardh6@i2i.jp</v>
      </c>
      <c r="H311" s="2" t="str">
        <f>_xlfn.XLOOKUP(orders!C311,customers!$A$1:$A$1001,customers!$G$1:$G$1001,,0)</f>
        <v>United States</v>
      </c>
      <c r="I311" t="str">
        <f>INDEX(products!$A$1:$G$49,MATCH(orders!$D311, products!$A$1:$A$49,0), MATCH(orders!I$1,products!$A$1:$G$1,0))</f>
        <v>Lib</v>
      </c>
      <c r="J311" t="str">
        <f>INDEX(products!$A$1:$G$49,MATCH(orders!$D311, products!$A$1:$A$49,0), MATCH(orders!J$1,products!$A$1:$G$1,0))</f>
        <v>M</v>
      </c>
      <c r="K311" s="4">
        <f>INDEX(products!$A$1:$G$49,MATCH(orders!$D311, products!$A$1:$A$49,0), MATCH(orders!K$1,products!$A$1:$G$1,0))</f>
        <v>0.2</v>
      </c>
      <c r="L311" s="5">
        <f>INDEX(products!$A$1:$G$49,MATCH(orders!$D311, products!$A$1:$A$49,0), MATCH(orders!L$1,products!$A$1:$G$1,0))</f>
        <v>4.3650000000000002</v>
      </c>
      <c r="M311" s="5">
        <f t="shared" si="12"/>
        <v>26.19</v>
      </c>
      <c r="N311" t="str">
        <f t="shared" si="13"/>
        <v>Liberica</v>
      </c>
      <c r="O311" t="str">
        <f t="shared" si="14"/>
        <v>Medium</v>
      </c>
      <c r="P311" t="str">
        <f>_xlfn.XLOOKUP(Table1[[#This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IF(_xlfn.XLOOKUP(C312,customers!$A$1:$A$1001,customers!C311:C1311,,0)=0,"",_xlfn.XLOOKUP(C312,customers!$A$1:$A$1001,customers!C311:C1311,,0))</f>
        <v>jbush8@guardian.co.uk</v>
      </c>
      <c r="H312" s="2" t="str">
        <f>_xlfn.XLOOKUP(orders!C312,customers!$A$1:$A$1001,customers!$G$1:$G$1001,,0)</f>
        <v>Ireland</v>
      </c>
      <c r="I312" t="str">
        <f>INDEX(products!$A$1:$G$49,MATCH(orders!$D312, products!$A$1:$A$49,0), MATCH(orders!I$1,products!$A$1:$G$1,0))</f>
        <v>Exc</v>
      </c>
      <c r="J312" t="str">
        <f>INDEX(products!$A$1:$G$49,MATCH(orders!$D312, products!$A$1:$A$49,0), MATCH(orders!J$1,products!$A$1:$G$1,0))</f>
        <v>L</v>
      </c>
      <c r="K312" s="4">
        <f>INDEX(products!$A$1:$G$49,MATCH(orders!$D312, products!$A$1:$A$49,0), MATCH(orders!K$1,products!$A$1:$G$1,0))</f>
        <v>1</v>
      </c>
      <c r="L312" s="5">
        <f>INDEX(products!$A$1:$G$49,MATCH(orders!$D312, products!$A$1:$A$49,0), MATCH(orders!L$1,products!$A$1:$G$1,0))</f>
        <v>14.85</v>
      </c>
      <c r="M312" s="5">
        <f t="shared" si="12"/>
        <v>14.85</v>
      </c>
      <c r="N312" t="str">
        <f t="shared" si="13"/>
        <v>Excelsa</v>
      </c>
      <c r="O312" t="str">
        <f t="shared" si="14"/>
        <v>Light</v>
      </c>
      <c r="P312" t="str">
        <f>_xlfn.XLOOKUP(Table1[[#This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IF(_xlfn.XLOOKUP(C313,customers!$A$1:$A$1001,customers!C312:C1312,,0)=0,"",_xlfn.XLOOKUP(C313,customers!$A$1:$A$1001,customers!C312:C1312,,0))</f>
        <v>bbyrdha@4shared.com</v>
      </c>
      <c r="H313" s="2" t="str">
        <f>_xlfn.XLOOKUP(orders!C313,customers!$A$1:$A$1001,customers!$G$1:$G$1001,,0)</f>
        <v>United States</v>
      </c>
      <c r="I313" t="str">
        <f>INDEX(products!$A$1:$G$49,MATCH(orders!$D313, products!$A$1:$A$49,0), MATCH(orders!I$1,products!$A$1:$G$1,0))</f>
        <v>Exc</v>
      </c>
      <c r="J313" t="str">
        <f>INDEX(products!$A$1:$G$49,MATCH(orders!$D313, products!$A$1:$A$49,0), MATCH(orders!J$1,products!$A$1:$G$1,0))</f>
        <v>M</v>
      </c>
      <c r="K313" s="4">
        <f>INDEX(products!$A$1:$G$49,MATCH(orders!$D313, products!$A$1:$A$49,0), MATCH(orders!K$1,products!$A$1:$G$1,0))</f>
        <v>2.5</v>
      </c>
      <c r="L313" s="5">
        <f>INDEX(products!$A$1:$G$49,MATCH(orders!$D313, products!$A$1:$A$49,0), MATCH(orders!L$1,products!$A$1:$G$1,0))</f>
        <v>31.624999999999996</v>
      </c>
      <c r="M313" s="5">
        <f t="shared" si="12"/>
        <v>189.74999999999997</v>
      </c>
      <c r="N313" t="str">
        <f t="shared" si="13"/>
        <v>Excelsa</v>
      </c>
      <c r="O313" t="str">
        <f t="shared" si="14"/>
        <v>Medium</v>
      </c>
      <c r="P313" t="str">
        <f>_xlfn.XLOOKUP(Table1[[#This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IF(_xlfn.XLOOKUP(C314,customers!$A$1:$A$1001,customers!C313:C1313,,0)=0,"",_xlfn.XLOOKUP(C314,customers!$A$1:$A$1001,customers!C313:C1313,,0))</f>
        <v>dchardinhc@nhs.uk</v>
      </c>
      <c r="H314" s="2" t="str">
        <f>_xlfn.XLOOKUP(orders!C314,customers!$A$1:$A$1001,customers!$G$1:$G$1001,,0)</f>
        <v>United States</v>
      </c>
      <c r="I314" t="str">
        <f>INDEX(products!$A$1:$G$49,MATCH(orders!$D314, products!$A$1:$A$49,0), MATCH(orders!I$1,products!$A$1:$G$1,0))</f>
        <v>Rob</v>
      </c>
      <c r="J314" t="str">
        <f>INDEX(products!$A$1:$G$49,MATCH(orders!$D314, products!$A$1:$A$49,0), MATCH(orders!J$1,products!$A$1:$G$1,0))</f>
        <v>M</v>
      </c>
      <c r="K314" s="4">
        <f>INDEX(products!$A$1:$G$49,MATCH(orders!$D314, products!$A$1:$A$49,0), MATCH(orders!K$1,products!$A$1:$G$1,0))</f>
        <v>0.5</v>
      </c>
      <c r="L314" s="5">
        <f>INDEX(products!$A$1:$G$49,MATCH(orders!$D314, products!$A$1:$A$49,0), MATCH(orders!L$1,products!$A$1:$G$1,0))</f>
        <v>5.97</v>
      </c>
      <c r="M314" s="5">
        <f t="shared" si="12"/>
        <v>5.97</v>
      </c>
      <c r="N314" t="str">
        <f t="shared" si="13"/>
        <v>Robusta</v>
      </c>
      <c r="O314" t="str">
        <f t="shared" si="14"/>
        <v>Medium</v>
      </c>
      <c r="P314" t="str">
        <f>_xlfn.XLOOKUP(Table1[[#This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IF(_xlfn.XLOOKUP(C315,customers!$A$1:$A$1001,customers!C314:C1314,,0)=0,"",_xlfn.XLOOKUP(C315,customers!$A$1:$A$1001,customers!C314:C1314,,0))</f>
        <v>wbernthhe@miitbeian.gov.cn</v>
      </c>
      <c r="H315" s="2" t="str">
        <f>_xlfn.XLOOKUP(orders!C315,customers!$A$1:$A$1001,customers!$G$1:$G$1001,,0)</f>
        <v>United Kingdom</v>
      </c>
      <c r="I315" t="str">
        <f>INDEX(products!$A$1:$G$49,MATCH(orders!$D315, products!$A$1:$A$49,0), MATCH(orders!I$1,products!$A$1:$G$1,0))</f>
        <v>Rob</v>
      </c>
      <c r="J315" t="str">
        <f>INDEX(products!$A$1:$G$49,MATCH(orders!$D315, products!$A$1:$A$49,0), MATCH(orders!J$1,products!$A$1:$G$1,0))</f>
        <v>M</v>
      </c>
      <c r="K315" s="4">
        <f>INDEX(products!$A$1:$G$49,MATCH(orders!$D315, products!$A$1:$A$49,0), MATCH(orders!K$1,products!$A$1:$G$1,0))</f>
        <v>1</v>
      </c>
      <c r="L315" s="5">
        <f>INDEX(products!$A$1:$G$49,MATCH(orders!$D315, products!$A$1:$A$49,0), MATCH(orders!L$1,products!$A$1:$G$1,0))</f>
        <v>9.9499999999999993</v>
      </c>
      <c r="M315" s="5">
        <f t="shared" si="12"/>
        <v>29.849999999999998</v>
      </c>
      <c r="N315" t="str">
        <f t="shared" si="13"/>
        <v>Robusta</v>
      </c>
      <c r="O315" t="str">
        <f t="shared" si="14"/>
        <v>Medium</v>
      </c>
      <c r="P315" t="str">
        <f>_xlfn.XLOOKUP(Table1[[#This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IF(_xlfn.XLOOKUP(C316,customers!$A$1:$A$1001,customers!C315:C1315,,0)=0,"",_xlfn.XLOOKUP(C316,customers!$A$1:$A$1001,customers!C315:C1315,,0))</f>
        <v>fbrighamhg@blog.com</v>
      </c>
      <c r="H316" s="2" t="str">
        <f>_xlfn.XLOOKUP(orders!C316,customers!$A$1:$A$1001,customers!$G$1:$G$1001,,0)</f>
        <v>United States</v>
      </c>
      <c r="I316" t="str">
        <f>INDEX(products!$A$1:$G$49,MATCH(orders!$D316, products!$A$1:$A$49,0), MATCH(orders!I$1,products!$A$1:$G$1,0))</f>
        <v>Rob</v>
      </c>
      <c r="J316" t="str">
        <f>INDEX(products!$A$1:$G$49,MATCH(orders!$D316, products!$A$1:$A$49,0), MATCH(orders!J$1,products!$A$1:$G$1,0))</f>
        <v>D</v>
      </c>
      <c r="K316" s="4">
        <f>INDEX(products!$A$1:$G$49,MATCH(orders!$D316, products!$A$1:$A$49,0), MATCH(orders!K$1,products!$A$1:$G$1,0))</f>
        <v>1</v>
      </c>
      <c r="L316" s="5">
        <f>INDEX(products!$A$1:$G$49,MATCH(orders!$D316, products!$A$1:$A$49,0), MATCH(orders!L$1,products!$A$1:$G$1,0))</f>
        <v>8.9499999999999993</v>
      </c>
      <c r="M316" s="5">
        <f t="shared" si="12"/>
        <v>44.75</v>
      </c>
      <c r="N316" t="str">
        <f t="shared" si="13"/>
        <v>Robusta</v>
      </c>
      <c r="O316" t="str">
        <f t="shared" si="14"/>
        <v>Dark</v>
      </c>
      <c r="P316" t="str">
        <f>_xlfn.XLOOKUP(Table1[[#This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IF(_xlfn.XLOOKUP(C317,customers!$A$1:$A$1001,customers!C316:C1316,,0)=0,"",_xlfn.XLOOKUP(C317,customers!$A$1:$A$1001,customers!C316:C1316,,0))</f>
        <v>cmeirhi@cnet.com</v>
      </c>
      <c r="H317" s="2" t="str">
        <f>_xlfn.XLOOKUP(orders!C317,customers!$A$1:$A$1001,customers!$G$1:$G$1001,,0)</f>
        <v>United States</v>
      </c>
      <c r="I317" t="str">
        <f>INDEX(products!$A$1:$G$49,MATCH(orders!$D317, products!$A$1:$A$49,0), MATCH(orders!I$1,products!$A$1:$G$1,0))</f>
        <v>Exc</v>
      </c>
      <c r="J317" t="str">
        <f>INDEX(products!$A$1:$G$49,MATCH(orders!$D317, products!$A$1:$A$49,0), MATCH(orders!J$1,products!$A$1:$G$1,0))</f>
        <v>L</v>
      </c>
      <c r="K317" s="4">
        <f>INDEX(products!$A$1:$G$49,MATCH(orders!$D317, products!$A$1:$A$49,0), MATCH(orders!K$1,products!$A$1:$G$1,0))</f>
        <v>2.5</v>
      </c>
      <c r="L317" s="5">
        <f>INDEX(products!$A$1:$G$49,MATCH(orders!$D317, products!$A$1:$A$49,0), MATCH(orders!L$1,products!$A$1:$G$1,0))</f>
        <v>34.154999999999994</v>
      </c>
      <c r="M317" s="5">
        <f t="shared" si="12"/>
        <v>34.154999999999994</v>
      </c>
      <c r="N317" t="str">
        <f t="shared" si="13"/>
        <v>Excelsa</v>
      </c>
      <c r="O317" t="str">
        <f t="shared" si="14"/>
        <v>Light</v>
      </c>
      <c r="P317" t="str">
        <f>_xlfn.XLOOKUP(Table1[[#This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IF(_xlfn.XLOOKUP(C318,customers!$A$1:$A$1001,customers!C317:C1317,,0)=0,"",_xlfn.XLOOKUP(C318,customers!$A$1:$A$1001,customers!C317:C1317,,0))</f>
        <v>myoxenhk@google.com</v>
      </c>
      <c r="H318" s="2" t="str">
        <f>_xlfn.XLOOKUP(orders!C318,customers!$A$1:$A$1001,customers!$G$1:$G$1001,,0)</f>
        <v>Ireland</v>
      </c>
      <c r="I318" t="str">
        <f>INDEX(products!$A$1:$G$49,MATCH(orders!$D318, products!$A$1:$A$49,0), MATCH(orders!I$1,products!$A$1:$G$1,0))</f>
        <v>Exc</v>
      </c>
      <c r="J318" t="str">
        <f>INDEX(products!$A$1:$G$49,MATCH(orders!$D318, products!$A$1:$A$49,0), MATCH(orders!J$1,products!$A$1:$G$1,0))</f>
        <v>L</v>
      </c>
      <c r="K318" s="4">
        <f>INDEX(products!$A$1:$G$49,MATCH(orders!$D318, products!$A$1:$A$49,0), MATCH(orders!K$1,products!$A$1:$G$1,0))</f>
        <v>2.5</v>
      </c>
      <c r="L318" s="5">
        <f>INDEX(products!$A$1:$G$49,MATCH(orders!$D318, products!$A$1:$A$49,0), MATCH(orders!L$1,products!$A$1:$G$1,0))</f>
        <v>34.154999999999994</v>
      </c>
      <c r="M318" s="5">
        <f t="shared" si="12"/>
        <v>204.92999999999995</v>
      </c>
      <c r="N318" t="str">
        <f t="shared" si="13"/>
        <v>Excelsa</v>
      </c>
      <c r="O318" t="str">
        <f t="shared" si="14"/>
        <v>Light</v>
      </c>
      <c r="P318" t="str">
        <f>_xlfn.XLOOKUP(Table1[[#This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IF(_xlfn.XLOOKUP(C319,customers!$A$1:$A$1001,customers!C318:C1318,,0)=0,"",_xlfn.XLOOKUP(C319,customers!$A$1:$A$1001,customers!C318:C1318,,0))</f>
        <v>luttermarehm@engadget.com</v>
      </c>
      <c r="H319" s="2" t="str">
        <f>_xlfn.XLOOKUP(orders!C319,customers!$A$1:$A$1001,customers!$G$1:$G$1001,,0)</f>
        <v>United States</v>
      </c>
      <c r="I319" t="str">
        <f>INDEX(products!$A$1:$G$49,MATCH(orders!$D319, products!$A$1:$A$49,0), MATCH(orders!I$1,products!$A$1:$G$1,0))</f>
        <v>Exc</v>
      </c>
      <c r="J319" t="str">
        <f>INDEX(products!$A$1:$G$49,MATCH(orders!$D319, products!$A$1:$A$49,0), MATCH(orders!J$1,products!$A$1:$G$1,0))</f>
        <v>D</v>
      </c>
      <c r="K319" s="4">
        <f>INDEX(products!$A$1:$G$49,MATCH(orders!$D319, products!$A$1:$A$49,0), MATCH(orders!K$1,products!$A$1:$G$1,0))</f>
        <v>0.5</v>
      </c>
      <c r="L319" s="5">
        <f>INDEX(products!$A$1:$G$49,MATCH(orders!$D319, products!$A$1:$A$49,0), MATCH(orders!L$1,products!$A$1:$G$1,0))</f>
        <v>7.29</v>
      </c>
      <c r="M319" s="5">
        <f t="shared" si="12"/>
        <v>21.87</v>
      </c>
      <c r="N319" t="str">
        <f t="shared" si="13"/>
        <v>Excelsa</v>
      </c>
      <c r="O319" t="str">
        <f t="shared" si="14"/>
        <v>Dark</v>
      </c>
      <c r="P319" t="str">
        <f>_xlfn.XLOOKUP(Table1[[#This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IF(_xlfn.XLOOKUP(C320,customers!$A$1:$A$1001,customers!C319:C1319,,0)=0,"",_xlfn.XLOOKUP(C320,customers!$A$1:$A$1001,customers!C319:C1319,,0))</f>
        <v>cwinchcombeho@jiathis.com</v>
      </c>
      <c r="H320" s="2" t="str">
        <f>_xlfn.XLOOKUP(orders!C320,customers!$A$1:$A$1001,customers!$G$1:$G$1001,,0)</f>
        <v>United States</v>
      </c>
      <c r="I320" t="str">
        <f>INDEX(products!$A$1:$G$49,MATCH(orders!$D320, products!$A$1:$A$49,0), MATCH(orders!I$1,products!$A$1:$G$1,0))</f>
        <v>Ara</v>
      </c>
      <c r="J320" t="str">
        <f>INDEX(products!$A$1:$G$49,MATCH(orders!$D320, products!$A$1:$A$49,0), MATCH(orders!J$1,products!$A$1:$G$1,0))</f>
        <v>M</v>
      </c>
      <c r="K320" s="4">
        <f>INDEX(products!$A$1:$G$49,MATCH(orders!$D320, products!$A$1:$A$49,0), MATCH(orders!K$1,products!$A$1:$G$1,0))</f>
        <v>2.5</v>
      </c>
      <c r="L320" s="5">
        <f>INDEX(products!$A$1:$G$49,MATCH(orders!$D320, products!$A$1:$A$49,0), MATCH(orders!L$1,products!$A$1:$G$1,0))</f>
        <v>25.874999999999996</v>
      </c>
      <c r="M320" s="5">
        <f t="shared" si="12"/>
        <v>51.749999999999993</v>
      </c>
      <c r="N320" t="str">
        <f t="shared" si="13"/>
        <v>Arabica</v>
      </c>
      <c r="O320" t="str">
        <f t="shared" si="14"/>
        <v>Medium</v>
      </c>
      <c r="P320" t="str">
        <f>_xlfn.XLOOKUP(Table1[[#This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IF(_xlfn.XLOOKUP(C321,customers!$A$1:$A$1001,customers!C320:C1320,,0)=0,"",_xlfn.XLOOKUP(C321,customers!$A$1:$A$1001,customers!C320:C1320,,0))</f>
        <v/>
      </c>
      <c r="H321" s="2" t="str">
        <f>_xlfn.XLOOKUP(orders!C321,customers!$A$1:$A$1001,customers!$G$1:$G$1001,,0)</f>
        <v>United States</v>
      </c>
      <c r="I321" t="str">
        <f>INDEX(products!$A$1:$G$49,MATCH(orders!$D321, products!$A$1:$A$49,0), MATCH(orders!I$1,products!$A$1:$G$1,0))</f>
        <v>Exc</v>
      </c>
      <c r="J321" t="str">
        <f>INDEX(products!$A$1:$G$49,MATCH(orders!$D321, products!$A$1:$A$49,0), MATCH(orders!J$1,products!$A$1:$G$1,0))</f>
        <v>M</v>
      </c>
      <c r="K321" s="4">
        <f>INDEX(products!$A$1:$G$49,MATCH(orders!$D321, products!$A$1:$A$49,0), MATCH(orders!K$1,products!$A$1:$G$1,0))</f>
        <v>0.2</v>
      </c>
      <c r="L321" s="5">
        <f>INDEX(products!$A$1:$G$49,MATCH(orders!$D321, products!$A$1:$A$49,0), MATCH(orders!L$1,products!$A$1:$G$1,0))</f>
        <v>4.125</v>
      </c>
      <c r="M321" s="5">
        <f t="shared" si="12"/>
        <v>8.25</v>
      </c>
      <c r="N321" t="str">
        <f t="shared" si="13"/>
        <v>Excelsa</v>
      </c>
      <c r="O321" t="str">
        <f t="shared" si="14"/>
        <v>Medium</v>
      </c>
      <c r="P321" t="str">
        <f>_xlfn.XLOOKUP(Table1[[#This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IF(_xlfn.XLOOKUP(C322,customers!$A$1:$A$1001,customers!C321:C1321,,0)=0,"",_xlfn.XLOOKUP(C322,customers!$A$1:$A$1001,customers!C321:C1321,,0))</f>
        <v>jcapeyhr@bravesites.com</v>
      </c>
      <c r="H322" s="2" t="str">
        <f>_xlfn.XLOOKUP(orders!C322,customers!$A$1:$A$1001,customers!$G$1:$G$1001,,0)</f>
        <v>United States</v>
      </c>
      <c r="I322" t="str">
        <f>INDEX(products!$A$1:$G$49,MATCH(orders!$D322, products!$A$1:$A$49,0), MATCH(orders!I$1,products!$A$1:$G$1,0))</f>
        <v>Ara</v>
      </c>
      <c r="J322" t="str">
        <f>INDEX(products!$A$1:$G$49,MATCH(orders!$D322, products!$A$1:$A$49,0), MATCH(orders!J$1,products!$A$1:$G$1,0))</f>
        <v>L</v>
      </c>
      <c r="K322" s="4">
        <f>INDEX(products!$A$1:$G$49,MATCH(orders!$D322, products!$A$1:$A$49,0), MATCH(orders!K$1,products!$A$1:$G$1,0))</f>
        <v>0.2</v>
      </c>
      <c r="L322" s="5">
        <f>INDEX(products!$A$1:$G$49,MATCH(orders!$D322, products!$A$1:$A$49,0), MATCH(orders!L$1,products!$A$1:$G$1,0))</f>
        <v>3.8849999999999998</v>
      </c>
      <c r="M322" s="5">
        <f t="shared" si="12"/>
        <v>19.424999999999997</v>
      </c>
      <c r="N322" t="str">
        <f t="shared" si="13"/>
        <v>Arabica</v>
      </c>
      <c r="O322" t="str">
        <f t="shared" si="14"/>
        <v>Light</v>
      </c>
      <c r="P322" t="str">
        <f>_xlfn.XLOOKUP(Table1[[#This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IF(_xlfn.XLOOKUP(C323,customers!$A$1:$A$1001,customers!C322:C1322,,0)=0,"",_xlfn.XLOOKUP(C323,customers!$A$1:$A$1001,customers!C322:C1322,,0))</f>
        <v>mbaistowhu@i2i.jp</v>
      </c>
      <c r="H323" s="2" t="str">
        <f>_xlfn.XLOOKUP(orders!C323,customers!$A$1:$A$1001,customers!$G$1:$G$1001,,0)</f>
        <v>Ireland</v>
      </c>
      <c r="I323" t="str">
        <f>INDEX(products!$A$1:$G$49,MATCH(orders!$D323, products!$A$1:$A$49,0), MATCH(orders!I$1,products!$A$1:$G$1,0))</f>
        <v>Ara</v>
      </c>
      <c r="J323" t="str">
        <f>INDEX(products!$A$1:$G$49,MATCH(orders!$D323, products!$A$1:$A$49,0), MATCH(orders!J$1,products!$A$1:$G$1,0))</f>
        <v>M</v>
      </c>
      <c r="K323" s="4">
        <f>INDEX(products!$A$1:$G$49,MATCH(orders!$D323, products!$A$1:$A$49,0), MATCH(orders!K$1,products!$A$1:$G$1,0))</f>
        <v>0.2</v>
      </c>
      <c r="L323" s="5">
        <f>INDEX(products!$A$1:$G$49,MATCH(orders!$D323, products!$A$1:$A$49,0), MATCH(orders!L$1,products!$A$1:$G$1,0))</f>
        <v>3.375</v>
      </c>
      <c r="M323" s="5">
        <f t="shared" ref="M323:M386" si="15">L323*E323</f>
        <v>20.25</v>
      </c>
      <c r="N323" t="str">
        <f t="shared" ref="N323:N386" si="16">IF(I323="Rob","Robusta",IF(I323="Exc", "Excelsa", IF(I323="Ara","Arabica", IF(I323="lib","Liberica",""))))</f>
        <v>Arabica</v>
      </c>
      <c r="O323" t="str">
        <f t="shared" ref="O323:O386" si="17">IF(J323="M","Medium",IF(J323="L","Light",IF(J323="D","Dark", "")))</f>
        <v>Medium</v>
      </c>
      <c r="P323" t="str">
        <f>_xlfn.XLOOKUP(Table1[[#This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IF(_xlfn.XLOOKUP(C324,customers!$A$1:$A$1001,customers!C323:C1323,,0)=0,"",_xlfn.XLOOKUP(C324,customers!$A$1:$A$1001,customers!C323:C1323,,0))</f>
        <v/>
      </c>
      <c r="H324" s="2" t="str">
        <f>_xlfn.XLOOKUP(orders!C324,customers!$A$1:$A$1001,customers!$G$1:$G$1001,,0)</f>
        <v>Ireland</v>
      </c>
      <c r="I324" t="str">
        <f>INDEX(products!$A$1:$G$49,MATCH(orders!$D324, products!$A$1:$A$49,0), MATCH(orders!I$1,products!$A$1:$G$1,0))</f>
        <v>Lib</v>
      </c>
      <c r="J324" t="str">
        <f>INDEX(products!$A$1:$G$49,MATCH(orders!$D324, products!$A$1:$A$49,0), MATCH(orders!J$1,products!$A$1:$G$1,0))</f>
        <v>D</v>
      </c>
      <c r="K324" s="4">
        <f>INDEX(products!$A$1:$G$49,MATCH(orders!$D324, products!$A$1:$A$49,0), MATCH(orders!K$1,products!$A$1:$G$1,0))</f>
        <v>0.5</v>
      </c>
      <c r="L324" s="5">
        <f>INDEX(products!$A$1:$G$49,MATCH(orders!$D324, products!$A$1:$A$49,0), MATCH(orders!L$1,products!$A$1:$G$1,0))</f>
        <v>7.77</v>
      </c>
      <c r="M324" s="5">
        <f t="shared" si="15"/>
        <v>23.31</v>
      </c>
      <c r="N324" t="str">
        <f t="shared" si="16"/>
        <v>Liberica</v>
      </c>
      <c r="O324" t="str">
        <f t="shared" si="17"/>
        <v>Dark</v>
      </c>
      <c r="P324" t="str">
        <f>_xlfn.XLOOKUP(Table1[[#This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IF(_xlfn.XLOOKUP(C325,customers!$A$1:$A$1001,customers!C324:C1324,,0)=0,"",_xlfn.XLOOKUP(C325,customers!$A$1:$A$1001,customers!C324:C1324,,0))</f>
        <v>drallinhy@howstuffworks.com</v>
      </c>
      <c r="H325" s="2" t="str">
        <f>_xlfn.XLOOKUP(orders!C325,customers!$A$1:$A$1001,customers!$G$1:$G$1001,,0)</f>
        <v>United States</v>
      </c>
      <c r="I325" t="str">
        <f>INDEX(products!$A$1:$G$49,MATCH(orders!$D325, products!$A$1:$A$49,0), MATCH(orders!I$1,products!$A$1:$G$1,0))</f>
        <v>Exc</v>
      </c>
      <c r="J325" t="str">
        <f>INDEX(products!$A$1:$G$49,MATCH(orders!$D325, products!$A$1:$A$49,0), MATCH(orders!J$1,products!$A$1:$G$1,0))</f>
        <v>D</v>
      </c>
      <c r="K325" s="4">
        <f>INDEX(products!$A$1:$G$49,MATCH(orders!$D325, products!$A$1:$A$49,0), MATCH(orders!K$1,products!$A$1:$G$1,0))</f>
        <v>0.2</v>
      </c>
      <c r="L325" s="5">
        <f>INDEX(products!$A$1:$G$49,MATCH(orders!$D325, products!$A$1:$A$49,0), MATCH(orders!L$1,products!$A$1:$G$1,0))</f>
        <v>3.645</v>
      </c>
      <c r="M325" s="5">
        <f t="shared" si="15"/>
        <v>18.225000000000001</v>
      </c>
      <c r="N325" t="str">
        <f t="shared" si="16"/>
        <v>Excelsa</v>
      </c>
      <c r="O325" t="str">
        <f t="shared" si="17"/>
        <v>Dark</v>
      </c>
      <c r="P325" t="str">
        <f>_xlfn.XLOOKUP(Table1[[#This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IF(_xlfn.XLOOKUP(C326,customers!$A$1:$A$1001,customers!C325:C1325,,0)=0,"",_xlfn.XLOOKUP(C326,customers!$A$1:$A$1001,customers!C325:C1325,,0))</f>
        <v>tmathonneti0@google.co.jp</v>
      </c>
      <c r="H326" s="2" t="str">
        <f>_xlfn.XLOOKUP(orders!C326,customers!$A$1:$A$1001,customers!$G$1:$G$1001,,0)</f>
        <v>United States</v>
      </c>
      <c r="I326" t="str">
        <f>INDEX(products!$A$1:$G$49,MATCH(orders!$D326, products!$A$1:$A$49,0), MATCH(orders!I$1,products!$A$1:$G$1,0))</f>
        <v>Exc</v>
      </c>
      <c r="J326" t="str">
        <f>INDEX(products!$A$1:$G$49,MATCH(orders!$D326, products!$A$1:$A$49,0), MATCH(orders!J$1,products!$A$1:$G$1,0))</f>
        <v>M</v>
      </c>
      <c r="K326" s="4">
        <f>INDEX(products!$A$1:$G$49,MATCH(orders!$D326, products!$A$1:$A$49,0), MATCH(orders!K$1,products!$A$1:$G$1,0))</f>
        <v>1</v>
      </c>
      <c r="L326" s="5">
        <f>INDEX(products!$A$1:$G$49,MATCH(orders!$D326, products!$A$1:$A$49,0), MATCH(orders!L$1,products!$A$1:$G$1,0))</f>
        <v>13.75</v>
      </c>
      <c r="M326" s="5">
        <f t="shared" si="15"/>
        <v>13.75</v>
      </c>
      <c r="N326" t="str">
        <f t="shared" si="16"/>
        <v>Excelsa</v>
      </c>
      <c r="O326" t="str">
        <f t="shared" si="17"/>
        <v>Medium</v>
      </c>
      <c r="P326" t="str">
        <f>_xlfn.XLOOKUP(Table1[[#This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IF(_xlfn.XLOOKUP(C327,customers!$A$1:$A$1001,customers!C326:C1326,,0)=0,"",_xlfn.XLOOKUP(C327,customers!$A$1:$A$1001,customers!C326:C1326,,0))</f>
        <v>cstebbingsi2@drupal.org</v>
      </c>
      <c r="H327" s="2" t="str">
        <f>_xlfn.XLOOKUP(orders!C327,customers!$A$1:$A$1001,customers!$G$1:$G$1001,,0)</f>
        <v>United States</v>
      </c>
      <c r="I327" t="str">
        <f>INDEX(products!$A$1:$G$49,MATCH(orders!$D327, products!$A$1:$A$49,0), MATCH(orders!I$1,products!$A$1:$G$1,0))</f>
        <v>Ara</v>
      </c>
      <c r="J327" t="str">
        <f>INDEX(products!$A$1:$G$49,MATCH(orders!$D327, products!$A$1:$A$49,0), MATCH(orders!J$1,products!$A$1:$G$1,0))</f>
        <v>L</v>
      </c>
      <c r="K327" s="4">
        <f>INDEX(products!$A$1:$G$49,MATCH(orders!$D327, products!$A$1:$A$49,0), MATCH(orders!K$1,products!$A$1:$G$1,0))</f>
        <v>2.5</v>
      </c>
      <c r="L327" s="5">
        <f>INDEX(products!$A$1:$G$49,MATCH(orders!$D327, products!$A$1:$A$49,0), MATCH(orders!L$1,products!$A$1:$G$1,0))</f>
        <v>29.784999999999997</v>
      </c>
      <c r="M327" s="5">
        <f t="shared" si="15"/>
        <v>29.784999999999997</v>
      </c>
      <c r="N327" t="str">
        <f t="shared" si="16"/>
        <v>Arabica</v>
      </c>
      <c r="O327" t="str">
        <f t="shared" si="17"/>
        <v>Light</v>
      </c>
      <c r="P327" t="str">
        <f>_xlfn.XLOOKUP(Table1[[#This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IF(_xlfn.XLOOKUP(C328,customers!$A$1:$A$1001,customers!C327:C1327,,0)=0,"",_xlfn.XLOOKUP(C328,customers!$A$1:$A$1001,customers!C327:C1327,,0))</f>
        <v>rzywickii4@ifeng.com</v>
      </c>
      <c r="H328" s="2" t="str">
        <f>_xlfn.XLOOKUP(orders!C328,customers!$A$1:$A$1001,customers!$G$1:$G$1001,,0)</f>
        <v>United States</v>
      </c>
      <c r="I328" t="str">
        <f>INDEX(products!$A$1:$G$49,MATCH(orders!$D328, products!$A$1:$A$49,0), MATCH(orders!I$1,products!$A$1:$G$1,0))</f>
        <v>Rob</v>
      </c>
      <c r="J328" t="str">
        <f>INDEX(products!$A$1:$G$49,MATCH(orders!$D328, products!$A$1:$A$49,0), MATCH(orders!J$1,products!$A$1:$G$1,0))</f>
        <v>D</v>
      </c>
      <c r="K328" s="4">
        <f>INDEX(products!$A$1:$G$49,MATCH(orders!$D328, products!$A$1:$A$49,0), MATCH(orders!K$1,products!$A$1:$G$1,0))</f>
        <v>1</v>
      </c>
      <c r="L328" s="5">
        <f>INDEX(products!$A$1:$G$49,MATCH(orders!$D328, products!$A$1:$A$49,0), MATCH(orders!L$1,products!$A$1:$G$1,0))</f>
        <v>8.9499999999999993</v>
      </c>
      <c r="M328" s="5">
        <f t="shared" si="15"/>
        <v>44.75</v>
      </c>
      <c r="N328" t="str">
        <f t="shared" si="16"/>
        <v>Robusta</v>
      </c>
      <c r="O328" t="str">
        <f t="shared" si="17"/>
        <v>Dark</v>
      </c>
      <c r="P328" t="str">
        <f>_xlfn.XLOOKUP(Table1[[#This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IF(_xlfn.XLOOKUP(C329,customers!$A$1:$A$1001,customers!C328:C1328,,0)=0,"",_xlfn.XLOOKUP(C329,customers!$A$1:$A$1001,customers!C328:C1328,,0))</f>
        <v>mmalloyi6@seattletimes.com</v>
      </c>
      <c r="H329" s="2" t="str">
        <f>_xlfn.XLOOKUP(orders!C329,customers!$A$1:$A$1001,customers!$G$1:$G$1001,,0)</f>
        <v>United States</v>
      </c>
      <c r="I329" t="str">
        <f>INDEX(products!$A$1:$G$49,MATCH(orders!$D329, products!$A$1:$A$49,0), MATCH(orders!I$1,products!$A$1:$G$1,0))</f>
        <v>Rob</v>
      </c>
      <c r="J329" t="str">
        <f>INDEX(products!$A$1:$G$49,MATCH(orders!$D329, products!$A$1:$A$49,0), MATCH(orders!J$1,products!$A$1:$G$1,0))</f>
        <v>D</v>
      </c>
      <c r="K329" s="4">
        <f>INDEX(products!$A$1:$G$49,MATCH(orders!$D329, products!$A$1:$A$49,0), MATCH(orders!K$1,products!$A$1:$G$1,0))</f>
        <v>1</v>
      </c>
      <c r="L329" s="5">
        <f>INDEX(products!$A$1:$G$49,MATCH(orders!$D329, products!$A$1:$A$49,0), MATCH(orders!L$1,products!$A$1:$G$1,0))</f>
        <v>8.9499999999999993</v>
      </c>
      <c r="M329" s="5">
        <f t="shared" si="15"/>
        <v>44.75</v>
      </c>
      <c r="N329" t="str">
        <f t="shared" si="16"/>
        <v>Robusta</v>
      </c>
      <c r="O329" t="str">
        <f t="shared" si="17"/>
        <v>Dark</v>
      </c>
      <c r="P329" t="str">
        <f>_xlfn.XLOOKUP(Table1[[#This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IF(_xlfn.XLOOKUP(C330,customers!$A$1:$A$1001,customers!C329:C1329,,0)=0,"",_xlfn.XLOOKUP(C330,customers!$A$1:$A$1001,customers!C329:C1329,,0))</f>
        <v>sjennaroyi8@purevolume.com</v>
      </c>
      <c r="H330" s="2" t="str">
        <f>_xlfn.XLOOKUP(orders!C330,customers!$A$1:$A$1001,customers!$G$1:$G$1001,,0)</f>
        <v>United States</v>
      </c>
      <c r="I330" t="str">
        <f>INDEX(products!$A$1:$G$49,MATCH(orders!$D330, products!$A$1:$A$49,0), MATCH(orders!I$1,products!$A$1:$G$1,0))</f>
        <v>Lib</v>
      </c>
      <c r="J330" t="str">
        <f>INDEX(products!$A$1:$G$49,MATCH(orders!$D330, products!$A$1:$A$49,0), MATCH(orders!J$1,products!$A$1:$G$1,0))</f>
        <v>L</v>
      </c>
      <c r="K330" s="4">
        <f>INDEX(products!$A$1:$G$49,MATCH(orders!$D330, products!$A$1:$A$49,0), MATCH(orders!K$1,products!$A$1:$G$1,0))</f>
        <v>0.5</v>
      </c>
      <c r="L330" s="5">
        <f>INDEX(products!$A$1:$G$49,MATCH(orders!$D330, products!$A$1:$A$49,0), MATCH(orders!L$1,products!$A$1:$G$1,0))</f>
        <v>9.51</v>
      </c>
      <c r="M330" s="5">
        <f t="shared" si="15"/>
        <v>38.04</v>
      </c>
      <c r="N330" t="str">
        <f t="shared" si="16"/>
        <v>Liberica</v>
      </c>
      <c r="O330" t="str">
        <f t="shared" si="17"/>
        <v>Light</v>
      </c>
      <c r="P330" t="str">
        <f>_xlfn.XLOOKUP(Table1[[#This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IF(_xlfn.XLOOKUP(C331,customers!$A$1:$A$1001,customers!C330:C1330,,0)=0,"",_xlfn.XLOOKUP(C331,customers!$A$1:$A$1001,customers!C330:C1330,,0))</f>
        <v/>
      </c>
      <c r="H331" s="2" t="str">
        <f>_xlfn.XLOOKUP(orders!C331,customers!$A$1:$A$1001,customers!$G$1:$G$1001,,0)</f>
        <v>United States</v>
      </c>
      <c r="I331" t="str">
        <f>INDEX(products!$A$1:$G$49,MATCH(orders!$D331, products!$A$1:$A$49,0), MATCH(orders!I$1,products!$A$1:$G$1,0))</f>
        <v>Rob</v>
      </c>
      <c r="J331" t="str">
        <f>INDEX(products!$A$1:$G$49,MATCH(orders!$D331, products!$A$1:$A$49,0), MATCH(orders!J$1,products!$A$1:$G$1,0))</f>
        <v>D</v>
      </c>
      <c r="K331" s="4">
        <f>INDEX(products!$A$1:$G$49,MATCH(orders!$D331, products!$A$1:$A$49,0), MATCH(orders!K$1,products!$A$1:$G$1,0))</f>
        <v>0.5</v>
      </c>
      <c r="L331" s="5">
        <f>INDEX(products!$A$1:$G$49,MATCH(orders!$D331, products!$A$1:$A$49,0), MATCH(orders!L$1,products!$A$1:$G$1,0))</f>
        <v>5.3699999999999992</v>
      </c>
      <c r="M331" s="5">
        <f t="shared" si="15"/>
        <v>21.479999999999997</v>
      </c>
      <c r="N331" t="str">
        <f t="shared" si="16"/>
        <v>Robusta</v>
      </c>
      <c r="O331" t="str">
        <f t="shared" si="17"/>
        <v>Dark</v>
      </c>
      <c r="P331" t="str">
        <f>_xlfn.XLOOKUP(Table1[[#This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IF(_xlfn.XLOOKUP(C332,customers!$A$1:$A$1001,customers!C331:C1331,,0)=0,"",_xlfn.XLOOKUP(C332,customers!$A$1:$A$1001,customers!C331:C1331,,0))</f>
        <v>achillhz@epa.gov</v>
      </c>
      <c r="H332" s="2" t="str">
        <f>_xlfn.XLOOKUP(orders!C332,customers!$A$1:$A$1001,customers!$G$1:$G$1001,,0)</f>
        <v>United States</v>
      </c>
      <c r="I332" t="str">
        <f>INDEX(products!$A$1:$G$49,MATCH(orders!$D332, products!$A$1:$A$49,0), MATCH(orders!I$1,products!$A$1:$G$1,0))</f>
        <v>Rob</v>
      </c>
      <c r="J332" t="str">
        <f>INDEX(products!$A$1:$G$49,MATCH(orders!$D332, products!$A$1:$A$49,0), MATCH(orders!J$1,products!$A$1:$G$1,0))</f>
        <v>D</v>
      </c>
      <c r="K332" s="4">
        <f>INDEX(products!$A$1:$G$49,MATCH(orders!$D332, products!$A$1:$A$49,0), MATCH(orders!K$1,products!$A$1:$G$1,0))</f>
        <v>0.5</v>
      </c>
      <c r="L332" s="5">
        <f>INDEX(products!$A$1:$G$49,MATCH(orders!$D332, products!$A$1:$A$49,0), MATCH(orders!L$1,products!$A$1:$G$1,0))</f>
        <v>5.3699999999999992</v>
      </c>
      <c r="M332" s="5">
        <f t="shared" si="15"/>
        <v>16.11</v>
      </c>
      <c r="N332" t="str">
        <f t="shared" si="16"/>
        <v>Robusta</v>
      </c>
      <c r="O332" t="str">
        <f t="shared" si="17"/>
        <v>Dark</v>
      </c>
      <c r="P332" t="str">
        <f>_xlfn.XLOOKUP(Table1[[#This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IF(_xlfn.XLOOKUP(C333,customers!$A$1:$A$1001,customers!C332:C1332,,0)=0,"",_xlfn.XLOOKUP(C333,customers!$A$1:$A$1001,customers!C332:C1332,,0))</f>
        <v>smosebyie@stanford.edu</v>
      </c>
      <c r="H333" s="2" t="str">
        <f>_xlfn.XLOOKUP(orders!C333,customers!$A$1:$A$1001,customers!$G$1:$G$1001,,0)</f>
        <v>United States</v>
      </c>
      <c r="I333" t="str">
        <f>INDEX(products!$A$1:$G$49,MATCH(orders!$D333, products!$A$1:$A$49,0), MATCH(orders!I$1,products!$A$1:$G$1,0))</f>
        <v>Rob</v>
      </c>
      <c r="J333" t="str">
        <f>INDEX(products!$A$1:$G$49,MATCH(orders!$D333, products!$A$1:$A$49,0), MATCH(orders!J$1,products!$A$1:$G$1,0))</f>
        <v>M</v>
      </c>
      <c r="K333" s="4">
        <f>INDEX(products!$A$1:$G$49,MATCH(orders!$D333, products!$A$1:$A$49,0), MATCH(orders!K$1,products!$A$1:$G$1,0))</f>
        <v>2.5</v>
      </c>
      <c r="L333" s="5">
        <f>INDEX(products!$A$1:$G$49,MATCH(orders!$D333, products!$A$1:$A$49,0), MATCH(orders!L$1,products!$A$1:$G$1,0))</f>
        <v>22.884999999999998</v>
      </c>
      <c r="M333" s="5">
        <f t="shared" si="15"/>
        <v>22.884999999999998</v>
      </c>
      <c r="N333" t="str">
        <f t="shared" si="16"/>
        <v>Robusta</v>
      </c>
      <c r="O333" t="str">
        <f t="shared" si="17"/>
        <v>Medium</v>
      </c>
      <c r="P333" t="str">
        <f>_xlfn.XLOOKUP(Table1[[#This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IF(_xlfn.XLOOKUP(C334,customers!$A$1:$A$1001,customers!C333:C1333,,0)=0,"",_xlfn.XLOOKUP(C334,customers!$A$1:$A$1001,customers!C333:C1333,,0))</f>
        <v>isjostromig@pbs.org</v>
      </c>
      <c r="H334" s="2" t="str">
        <f>_xlfn.XLOOKUP(orders!C334,customers!$A$1:$A$1001,customers!$G$1:$G$1001,,0)</f>
        <v>United States</v>
      </c>
      <c r="I334" t="str">
        <f>INDEX(products!$A$1:$G$49,MATCH(orders!$D334, products!$A$1:$A$49,0), MATCH(orders!I$1,products!$A$1:$G$1,0))</f>
        <v>Ara</v>
      </c>
      <c r="J334" t="str">
        <f>INDEX(products!$A$1:$G$49,MATCH(orders!$D334, products!$A$1:$A$49,0), MATCH(orders!J$1,products!$A$1:$G$1,0))</f>
        <v>D</v>
      </c>
      <c r="K334" s="4">
        <f>INDEX(products!$A$1:$G$49,MATCH(orders!$D334, products!$A$1:$A$49,0), MATCH(orders!K$1,products!$A$1:$G$1,0))</f>
        <v>0.5</v>
      </c>
      <c r="L334" s="5">
        <f>INDEX(products!$A$1:$G$49,MATCH(orders!$D334, products!$A$1:$A$49,0), MATCH(orders!L$1,products!$A$1:$G$1,0))</f>
        <v>5.97</v>
      </c>
      <c r="M334" s="5">
        <f t="shared" si="15"/>
        <v>17.91</v>
      </c>
      <c r="N334" t="str">
        <f t="shared" si="16"/>
        <v>Arabica</v>
      </c>
      <c r="O334" t="str">
        <f t="shared" si="17"/>
        <v>Dark</v>
      </c>
      <c r="P334" t="str">
        <f>_xlfn.XLOOKUP(Table1[[#This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IF(_xlfn.XLOOKUP(C335,customers!$A$1:$A$1001,customers!C334:C1334,,0)=0,"",_xlfn.XLOOKUP(C335,customers!$A$1:$A$1001,customers!C334:C1334,,0))</f>
        <v>jbranchettii@bravesites.com</v>
      </c>
      <c r="H335" s="2" t="str">
        <f>_xlfn.XLOOKUP(orders!C335,customers!$A$1:$A$1001,customers!$G$1:$G$1001,,0)</f>
        <v>United States</v>
      </c>
      <c r="I335" t="str">
        <f>INDEX(products!$A$1:$G$49,MATCH(orders!$D335, products!$A$1:$A$49,0), MATCH(orders!I$1,products!$A$1:$G$1,0))</f>
        <v>Rob</v>
      </c>
      <c r="J335" t="str">
        <f>INDEX(products!$A$1:$G$49,MATCH(orders!$D335, products!$A$1:$A$49,0), MATCH(orders!J$1,products!$A$1:$G$1,0))</f>
        <v>M</v>
      </c>
      <c r="K335" s="4">
        <f>INDEX(products!$A$1:$G$49,MATCH(orders!$D335, products!$A$1:$A$49,0), MATCH(orders!K$1,products!$A$1:$G$1,0))</f>
        <v>0.5</v>
      </c>
      <c r="L335" s="5">
        <f>INDEX(products!$A$1:$G$49,MATCH(orders!$D335, products!$A$1:$A$49,0), MATCH(orders!L$1,products!$A$1:$G$1,0))</f>
        <v>5.97</v>
      </c>
      <c r="M335" s="5">
        <f t="shared" si="15"/>
        <v>23.88</v>
      </c>
      <c r="N335" t="str">
        <f t="shared" si="16"/>
        <v>Robusta</v>
      </c>
      <c r="O335" t="str">
        <f t="shared" si="17"/>
        <v>Medium</v>
      </c>
      <c r="P335" t="str">
        <f>_xlfn.XLOOKUP(Table1[[#This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IF(_xlfn.XLOOKUP(C336,customers!$A$1:$A$1001,customers!C335:C1335,,0)=0,"",_xlfn.XLOOKUP(C336,customers!$A$1:$A$1001,customers!C335:C1335,,0))</f>
        <v>jmillettik@addtoany.com</v>
      </c>
      <c r="H336" s="2" t="str">
        <f>_xlfn.XLOOKUP(orders!C336,customers!$A$1:$A$1001,customers!$G$1:$G$1001,,0)</f>
        <v>United States</v>
      </c>
      <c r="I336" t="str">
        <f>INDEX(products!$A$1:$G$49,MATCH(orders!$D336, products!$A$1:$A$49,0), MATCH(orders!I$1,products!$A$1:$G$1,0))</f>
        <v>Rob</v>
      </c>
      <c r="J336" t="str">
        <f>INDEX(products!$A$1:$G$49,MATCH(orders!$D336, products!$A$1:$A$49,0), MATCH(orders!J$1,products!$A$1:$G$1,0))</f>
        <v>L</v>
      </c>
      <c r="K336" s="4">
        <f>INDEX(products!$A$1:$G$49,MATCH(orders!$D336, products!$A$1:$A$49,0), MATCH(orders!K$1,products!$A$1:$G$1,0))</f>
        <v>1</v>
      </c>
      <c r="L336" s="5">
        <f>INDEX(products!$A$1:$G$49,MATCH(orders!$D336, products!$A$1:$A$49,0), MATCH(orders!L$1,products!$A$1:$G$1,0))</f>
        <v>11.95</v>
      </c>
      <c r="M336" s="5">
        <f t="shared" si="15"/>
        <v>59.75</v>
      </c>
      <c r="N336" t="str">
        <f t="shared" si="16"/>
        <v>Robusta</v>
      </c>
      <c r="O336" t="str">
        <f t="shared" si="17"/>
        <v>Light</v>
      </c>
      <c r="P336" t="str">
        <f>_xlfn.XLOOKUP(Table1[[#This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IF(_xlfn.XLOOKUP(C337,customers!$A$1:$A$1001,customers!C336:C1336,,0)=0,"",_xlfn.XLOOKUP(C337,customers!$A$1:$A$1001,customers!C336:C1336,,0))</f>
        <v>cweatherallim@toplist.cz</v>
      </c>
      <c r="H337" s="2" t="str">
        <f>_xlfn.XLOOKUP(orders!C337,customers!$A$1:$A$1001,customers!$G$1:$G$1001,,0)</f>
        <v>United States</v>
      </c>
      <c r="I337" t="str">
        <f>INDEX(products!$A$1:$G$49,MATCH(orders!$D337, products!$A$1:$A$49,0), MATCH(orders!I$1,products!$A$1:$G$1,0))</f>
        <v>Lib</v>
      </c>
      <c r="J337" t="str">
        <f>INDEX(products!$A$1:$G$49,MATCH(orders!$D337, products!$A$1:$A$49,0), MATCH(orders!J$1,products!$A$1:$G$1,0))</f>
        <v>L</v>
      </c>
      <c r="K337" s="4">
        <f>INDEX(products!$A$1:$G$49,MATCH(orders!$D337, products!$A$1:$A$49,0), MATCH(orders!K$1,products!$A$1:$G$1,0))</f>
        <v>0.2</v>
      </c>
      <c r="L337" s="5">
        <f>INDEX(products!$A$1:$G$49,MATCH(orders!$D337, products!$A$1:$A$49,0), MATCH(orders!L$1,products!$A$1:$G$1,0))</f>
        <v>4.7549999999999999</v>
      </c>
      <c r="M337" s="5">
        <f t="shared" si="15"/>
        <v>28.53</v>
      </c>
      <c r="N337" t="str">
        <f t="shared" si="16"/>
        <v>Liberica</v>
      </c>
      <c r="O337" t="str">
        <f t="shared" si="17"/>
        <v>Light</v>
      </c>
      <c r="P337" t="str">
        <f>_xlfn.XLOOKUP(Table1[[#This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IF(_xlfn.XLOOKUP(C338,customers!$A$1:$A$1001,customers!C337:C1337,,0)=0,"",_xlfn.XLOOKUP(C338,customers!$A$1:$A$1001,customers!C337:C1337,,0))</f>
        <v>limasonio@discuz.net</v>
      </c>
      <c r="H338" s="2" t="str">
        <f>_xlfn.XLOOKUP(orders!C338,customers!$A$1:$A$1001,customers!$G$1:$G$1001,,0)</f>
        <v>United Kingdom</v>
      </c>
      <c r="I338" t="str">
        <f>INDEX(products!$A$1:$G$49,MATCH(orders!$D338, products!$A$1:$A$49,0), MATCH(orders!I$1,products!$A$1:$G$1,0))</f>
        <v>Ara</v>
      </c>
      <c r="J338" t="str">
        <f>INDEX(products!$A$1:$G$49,MATCH(orders!$D338, products!$A$1:$A$49,0), MATCH(orders!J$1,products!$A$1:$G$1,0))</f>
        <v>M</v>
      </c>
      <c r="K338" s="4">
        <f>INDEX(products!$A$1:$G$49,MATCH(orders!$D338, products!$A$1:$A$49,0), MATCH(orders!K$1,products!$A$1:$G$1,0))</f>
        <v>1</v>
      </c>
      <c r="L338" s="5">
        <f>INDEX(products!$A$1:$G$49,MATCH(orders!$D338, products!$A$1:$A$49,0), MATCH(orders!L$1,products!$A$1:$G$1,0))</f>
        <v>11.25</v>
      </c>
      <c r="M338" s="5">
        <f t="shared" si="15"/>
        <v>45</v>
      </c>
      <c r="N338" t="str">
        <f t="shared" si="16"/>
        <v>Arabica</v>
      </c>
      <c r="O338" t="str">
        <f t="shared" si="17"/>
        <v>Medium</v>
      </c>
      <c r="P338" t="str">
        <f>_xlfn.XLOOKUP(Table1[[#This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IF(_xlfn.XLOOKUP(C339,customers!$A$1:$A$1001,customers!C338:C1338,,0)=0,"",_xlfn.XLOOKUP(C339,customers!$A$1:$A$1001,customers!C338:C1338,,0))</f>
        <v>cwassif@prweb.com</v>
      </c>
      <c r="H339" s="2" t="str">
        <f>_xlfn.XLOOKUP(orders!C339,customers!$A$1:$A$1001,customers!$G$1:$G$1001,,0)</f>
        <v>United States</v>
      </c>
      <c r="I339" t="str">
        <f>INDEX(products!$A$1:$G$49,MATCH(orders!$D339, products!$A$1:$A$49,0), MATCH(orders!I$1,products!$A$1:$G$1,0))</f>
        <v>Exc</v>
      </c>
      <c r="J339" t="str">
        <f>INDEX(products!$A$1:$G$49,MATCH(orders!$D339, products!$A$1:$A$49,0), MATCH(orders!J$1,products!$A$1:$G$1,0))</f>
        <v>D</v>
      </c>
      <c r="K339" s="4">
        <f>INDEX(products!$A$1:$G$49,MATCH(orders!$D339, products!$A$1:$A$49,0), MATCH(orders!K$1,products!$A$1:$G$1,0))</f>
        <v>2.5</v>
      </c>
      <c r="L339" s="5">
        <f>INDEX(products!$A$1:$G$49,MATCH(orders!$D339, products!$A$1:$A$49,0), MATCH(orders!L$1,products!$A$1:$G$1,0))</f>
        <v>27.945</v>
      </c>
      <c r="M339" s="5">
        <f t="shared" si="15"/>
        <v>55.89</v>
      </c>
      <c r="N339" t="str">
        <f t="shared" si="16"/>
        <v>Excelsa</v>
      </c>
      <c r="O339" t="str">
        <f t="shared" si="17"/>
        <v>Dark</v>
      </c>
      <c r="P339" t="str">
        <f>_xlfn.XLOOKUP(Table1[[#This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IF(_xlfn.XLOOKUP(C340,customers!$A$1:$A$1001,customers!C339:C1339,,0)=0,"",_xlfn.XLOOKUP(C340,customers!$A$1:$A$1001,customers!C339:C1339,,0))</f>
        <v/>
      </c>
      <c r="H340" s="2" t="str">
        <f>_xlfn.XLOOKUP(orders!C340,customers!$A$1:$A$1001,customers!$G$1:$G$1001,,0)</f>
        <v>United States</v>
      </c>
      <c r="I340" t="str">
        <f>INDEX(products!$A$1:$G$49,MATCH(orders!$D340, products!$A$1:$A$49,0), MATCH(orders!I$1,products!$A$1:$G$1,0))</f>
        <v>Exc</v>
      </c>
      <c r="J340" t="str">
        <f>INDEX(products!$A$1:$G$49,MATCH(orders!$D340, products!$A$1:$A$49,0), MATCH(orders!J$1,products!$A$1:$G$1,0))</f>
        <v>L</v>
      </c>
      <c r="K340" s="4">
        <f>INDEX(products!$A$1:$G$49,MATCH(orders!$D340, products!$A$1:$A$49,0), MATCH(orders!K$1,products!$A$1:$G$1,0))</f>
        <v>1</v>
      </c>
      <c r="L340" s="5">
        <f>INDEX(products!$A$1:$G$49,MATCH(orders!$D340, products!$A$1:$A$49,0), MATCH(orders!L$1,products!$A$1:$G$1,0))</f>
        <v>14.85</v>
      </c>
      <c r="M340" s="5">
        <f t="shared" si="15"/>
        <v>59.4</v>
      </c>
      <c r="N340" t="str">
        <f t="shared" si="16"/>
        <v>Excelsa</v>
      </c>
      <c r="O340" t="str">
        <f t="shared" si="17"/>
        <v>Light</v>
      </c>
      <c r="P340" t="str">
        <f>_xlfn.XLOOKUP(Table1[[#This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IF(_xlfn.XLOOKUP(C341,customers!$A$1:$A$1001,customers!C340:C1340,,0)=0,"",_xlfn.XLOOKUP(C341,customers!$A$1:$A$1001,customers!C340:C1340,,0))</f>
        <v>mmiddisiu@dmoz.org</v>
      </c>
      <c r="H341" s="2" t="str">
        <f>_xlfn.XLOOKUP(orders!C341,customers!$A$1:$A$1001,customers!$G$1:$G$1001,,0)</f>
        <v>United States</v>
      </c>
      <c r="I341" t="str">
        <f>INDEX(products!$A$1:$G$49,MATCH(orders!$D341, products!$A$1:$A$49,0), MATCH(orders!I$1,products!$A$1:$G$1,0))</f>
        <v>Exc</v>
      </c>
      <c r="J341" t="str">
        <f>INDEX(products!$A$1:$G$49,MATCH(orders!$D341, products!$A$1:$A$49,0), MATCH(orders!J$1,products!$A$1:$G$1,0))</f>
        <v>D</v>
      </c>
      <c r="K341" s="4">
        <f>INDEX(products!$A$1:$G$49,MATCH(orders!$D341, products!$A$1:$A$49,0), MATCH(orders!K$1,products!$A$1:$G$1,0))</f>
        <v>0.2</v>
      </c>
      <c r="L341" s="5">
        <f>INDEX(products!$A$1:$G$49,MATCH(orders!$D341, products!$A$1:$A$49,0), MATCH(orders!L$1,products!$A$1:$G$1,0))</f>
        <v>3.645</v>
      </c>
      <c r="M341" s="5">
        <f t="shared" si="15"/>
        <v>7.29</v>
      </c>
      <c r="N341" t="str">
        <f t="shared" si="16"/>
        <v>Excelsa</v>
      </c>
      <c r="O341" t="str">
        <f t="shared" si="17"/>
        <v>Dark</v>
      </c>
      <c r="P341" t="str">
        <f>_xlfn.XLOOKUP(Table1[[#This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IF(_xlfn.XLOOKUP(C342,customers!$A$1:$A$1001,customers!C341:C1341,,0)=0,"",_xlfn.XLOOKUP(C342,customers!$A$1:$A$1001,customers!C341:C1341,,0))</f>
        <v>agoldieiw@goo.gl</v>
      </c>
      <c r="H342" s="2" t="str">
        <f>_xlfn.XLOOKUP(orders!C342,customers!$A$1:$A$1001,customers!$G$1:$G$1001,,0)</f>
        <v>United States</v>
      </c>
      <c r="I342" t="str">
        <f>INDEX(products!$A$1:$G$49,MATCH(orders!$D342, products!$A$1:$A$49,0), MATCH(orders!I$1,products!$A$1:$G$1,0))</f>
        <v>Exc</v>
      </c>
      <c r="J342" t="str">
        <f>INDEX(products!$A$1:$G$49,MATCH(orders!$D342, products!$A$1:$A$49,0), MATCH(orders!J$1,products!$A$1:$G$1,0))</f>
        <v>D</v>
      </c>
      <c r="K342" s="4">
        <f>INDEX(products!$A$1:$G$49,MATCH(orders!$D342, products!$A$1:$A$49,0), MATCH(orders!K$1,products!$A$1:$G$1,0))</f>
        <v>0.5</v>
      </c>
      <c r="L342" s="5">
        <f>INDEX(products!$A$1:$G$49,MATCH(orders!$D342, products!$A$1:$A$49,0), MATCH(orders!L$1,products!$A$1:$G$1,0))</f>
        <v>7.29</v>
      </c>
      <c r="M342" s="5">
        <f t="shared" si="15"/>
        <v>7.29</v>
      </c>
      <c r="N342" t="str">
        <f t="shared" si="16"/>
        <v>Excelsa</v>
      </c>
      <c r="O342" t="str">
        <f t="shared" si="17"/>
        <v>Dark</v>
      </c>
      <c r="P342" t="str">
        <f>_xlfn.XLOOKUP(Table1[[#This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IF(_xlfn.XLOOKUP(C343,customers!$A$1:$A$1001,customers!C342:C1342,,0)=0,"",_xlfn.XLOOKUP(C343,customers!$A$1:$A$1001,customers!C342:C1342,,0))</f>
        <v>lbenediktovichiy@wunderground.com</v>
      </c>
      <c r="H343" s="2" t="str">
        <f>_xlfn.XLOOKUP(orders!C343,customers!$A$1:$A$1001,customers!$G$1:$G$1001,,0)</f>
        <v>United States</v>
      </c>
      <c r="I343" t="str">
        <f>INDEX(products!$A$1:$G$49,MATCH(orders!$D343, products!$A$1:$A$49,0), MATCH(orders!I$1,products!$A$1:$G$1,0))</f>
        <v>Exc</v>
      </c>
      <c r="J343" t="str">
        <f>INDEX(products!$A$1:$G$49,MATCH(orders!$D343, products!$A$1:$A$49,0), MATCH(orders!J$1,products!$A$1:$G$1,0))</f>
        <v>L</v>
      </c>
      <c r="K343" s="4">
        <f>INDEX(products!$A$1:$G$49,MATCH(orders!$D343, products!$A$1:$A$49,0), MATCH(orders!K$1,products!$A$1:$G$1,0))</f>
        <v>0.5</v>
      </c>
      <c r="L343" s="5">
        <f>INDEX(products!$A$1:$G$49,MATCH(orders!$D343, products!$A$1:$A$49,0), MATCH(orders!L$1,products!$A$1:$G$1,0))</f>
        <v>8.91</v>
      </c>
      <c r="M343" s="5">
        <f t="shared" si="15"/>
        <v>17.82</v>
      </c>
      <c r="N343" t="str">
        <f t="shared" si="16"/>
        <v>Excelsa</v>
      </c>
      <c r="O343" t="str">
        <f t="shared" si="17"/>
        <v>Light</v>
      </c>
      <c r="P343" t="str">
        <f>_xlfn.XLOOKUP(Table1[[#This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IF(_xlfn.XLOOKUP(C344,customers!$A$1:$A$1001,customers!C343:C1343,,0)=0,"",_xlfn.XLOOKUP(C344,customers!$A$1:$A$1001,customers!C343:C1343,,0))</f>
        <v>tjacobovitziz@cbc.ca</v>
      </c>
      <c r="H344" s="2" t="str">
        <f>_xlfn.XLOOKUP(orders!C344,customers!$A$1:$A$1001,customers!$G$1:$G$1001,,0)</f>
        <v>United States</v>
      </c>
      <c r="I344" t="str">
        <f>INDEX(products!$A$1:$G$49,MATCH(orders!$D344, products!$A$1:$A$49,0), MATCH(orders!I$1,products!$A$1:$G$1,0))</f>
        <v>Lib</v>
      </c>
      <c r="J344" t="str">
        <f>INDEX(products!$A$1:$G$49,MATCH(orders!$D344, products!$A$1:$A$49,0), MATCH(orders!J$1,products!$A$1:$G$1,0))</f>
        <v>D</v>
      </c>
      <c r="K344" s="4">
        <f>INDEX(products!$A$1:$G$49,MATCH(orders!$D344, products!$A$1:$A$49,0), MATCH(orders!K$1,products!$A$1:$G$1,0))</f>
        <v>0.5</v>
      </c>
      <c r="L344" s="5">
        <f>INDEX(products!$A$1:$G$49,MATCH(orders!$D344, products!$A$1:$A$49,0), MATCH(orders!L$1,products!$A$1:$G$1,0))</f>
        <v>7.77</v>
      </c>
      <c r="M344" s="5">
        <f t="shared" si="15"/>
        <v>38.849999999999994</v>
      </c>
      <c r="N344" t="str">
        <f t="shared" si="16"/>
        <v>Liberica</v>
      </c>
      <c r="O344" t="str">
        <f t="shared" si="17"/>
        <v>Dark</v>
      </c>
      <c r="P344" t="str">
        <f>_xlfn.XLOOKUP(Table1[[#This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IF(_xlfn.XLOOKUP(C345,customers!$A$1:$A$1001,customers!C344:C1344,,0)=0,"",_xlfn.XLOOKUP(C345,customers!$A$1:$A$1001,customers!C344:C1344,,0))</f>
        <v>dshortallj2@wikipedia.org</v>
      </c>
      <c r="H345" s="2" t="str">
        <f>_xlfn.XLOOKUP(orders!C345,customers!$A$1:$A$1001,customers!$G$1:$G$1001,,0)</f>
        <v>United States</v>
      </c>
      <c r="I345" t="str">
        <f>INDEX(products!$A$1:$G$49,MATCH(orders!$D345, products!$A$1:$A$49,0), MATCH(orders!I$1,products!$A$1:$G$1,0))</f>
        <v>Rob</v>
      </c>
      <c r="J345" t="str">
        <f>INDEX(products!$A$1:$G$49,MATCH(orders!$D345, products!$A$1:$A$49,0), MATCH(orders!J$1,products!$A$1:$G$1,0))</f>
        <v>D</v>
      </c>
      <c r="K345" s="4">
        <f>INDEX(products!$A$1:$G$49,MATCH(orders!$D345, products!$A$1:$A$49,0), MATCH(orders!K$1,products!$A$1:$G$1,0))</f>
        <v>0.5</v>
      </c>
      <c r="L345" s="5">
        <f>INDEX(products!$A$1:$G$49,MATCH(orders!$D345, products!$A$1:$A$49,0), MATCH(orders!L$1,products!$A$1:$G$1,0))</f>
        <v>5.3699999999999992</v>
      </c>
      <c r="M345" s="5">
        <f t="shared" si="15"/>
        <v>32.22</v>
      </c>
      <c r="N345" t="str">
        <f t="shared" si="16"/>
        <v>Robusta</v>
      </c>
      <c r="O345" t="str">
        <f t="shared" si="17"/>
        <v>Dark</v>
      </c>
      <c r="P345" t="str">
        <f>_xlfn.XLOOKUP(Table1[[#This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IF(_xlfn.XLOOKUP(C346,customers!$A$1:$A$1001,customers!C345:C1345,,0)=0,"",_xlfn.XLOOKUP(C346,customers!$A$1:$A$1001,customers!C345:C1345,,0))</f>
        <v>kgrinstedj4@google.com.br</v>
      </c>
      <c r="H346" s="2" t="str">
        <f>_xlfn.XLOOKUP(orders!C346,customers!$A$1:$A$1001,customers!$G$1:$G$1001,,0)</f>
        <v>Ireland</v>
      </c>
      <c r="I346" t="str">
        <f>INDEX(products!$A$1:$G$49,MATCH(orders!$D346, products!$A$1:$A$49,0), MATCH(orders!I$1,products!$A$1:$G$1,0))</f>
        <v>Rob</v>
      </c>
      <c r="J346" t="str">
        <f>INDEX(products!$A$1:$G$49,MATCH(orders!$D346, products!$A$1:$A$49,0), MATCH(orders!J$1,products!$A$1:$G$1,0))</f>
        <v>M</v>
      </c>
      <c r="K346" s="4">
        <f>INDEX(products!$A$1:$G$49,MATCH(orders!$D346, products!$A$1:$A$49,0), MATCH(orders!K$1,products!$A$1:$G$1,0))</f>
        <v>1</v>
      </c>
      <c r="L346" s="5">
        <f>INDEX(products!$A$1:$G$49,MATCH(orders!$D346, products!$A$1:$A$49,0), MATCH(orders!L$1,products!$A$1:$G$1,0))</f>
        <v>9.9499999999999993</v>
      </c>
      <c r="M346" s="5">
        <f t="shared" si="15"/>
        <v>19.899999999999999</v>
      </c>
      <c r="N346" t="str">
        <f t="shared" si="16"/>
        <v>Robusta</v>
      </c>
      <c r="O346" t="str">
        <f t="shared" si="17"/>
        <v>Medium</v>
      </c>
      <c r="P346" t="str">
        <f>_xlfn.XLOOKUP(Table1[[#This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IF(_xlfn.XLOOKUP(C347,customers!$A$1:$A$1001,customers!C346:C1346,,0)=0,"",_xlfn.XLOOKUP(C347,customers!$A$1:$A$1001,customers!C346:C1346,,0))</f>
        <v/>
      </c>
      <c r="H347" s="2" t="str">
        <f>_xlfn.XLOOKUP(orders!C347,customers!$A$1:$A$1001,customers!$G$1:$G$1001,,0)</f>
        <v>United States</v>
      </c>
      <c r="I347" t="str">
        <f>INDEX(products!$A$1:$G$49,MATCH(orders!$D347, products!$A$1:$A$49,0), MATCH(orders!I$1,products!$A$1:$G$1,0))</f>
        <v>Rob</v>
      </c>
      <c r="J347" t="str">
        <f>INDEX(products!$A$1:$G$49,MATCH(orders!$D347, products!$A$1:$A$49,0), MATCH(orders!J$1,products!$A$1:$G$1,0))</f>
        <v>L</v>
      </c>
      <c r="K347" s="4">
        <f>INDEX(products!$A$1:$G$49,MATCH(orders!$D347, products!$A$1:$A$49,0), MATCH(orders!K$1,products!$A$1:$G$1,0))</f>
        <v>1</v>
      </c>
      <c r="L347" s="5">
        <f>INDEX(products!$A$1:$G$49,MATCH(orders!$D347, products!$A$1:$A$49,0), MATCH(orders!L$1,products!$A$1:$G$1,0))</f>
        <v>11.95</v>
      </c>
      <c r="M347" s="5">
        <f t="shared" si="15"/>
        <v>59.75</v>
      </c>
      <c r="N347" t="str">
        <f t="shared" si="16"/>
        <v>Robusta</v>
      </c>
      <c r="O347" t="str">
        <f t="shared" si="17"/>
        <v>Light</v>
      </c>
      <c r="P347" t="str">
        <f>_xlfn.XLOOKUP(Table1[[#This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IF(_xlfn.XLOOKUP(C348,customers!$A$1:$A$1001,customers!C347:C1347,,0)=0,"",_xlfn.XLOOKUP(C348,customers!$A$1:$A$1001,customers!C347:C1347,,0))</f>
        <v>aweinmannj8@shinystat.com</v>
      </c>
      <c r="H348" s="2" t="str">
        <f>_xlfn.XLOOKUP(orders!C348,customers!$A$1:$A$1001,customers!$G$1:$G$1001,,0)</f>
        <v>United States</v>
      </c>
      <c r="I348" t="str">
        <f>INDEX(products!$A$1:$G$49,MATCH(orders!$D348, products!$A$1:$A$49,0), MATCH(orders!I$1,products!$A$1:$G$1,0))</f>
        <v>Ara</v>
      </c>
      <c r="J348" t="str">
        <f>INDEX(products!$A$1:$G$49,MATCH(orders!$D348, products!$A$1:$A$49,0), MATCH(orders!J$1,products!$A$1:$G$1,0))</f>
        <v>L</v>
      </c>
      <c r="K348" s="4">
        <f>INDEX(products!$A$1:$G$49,MATCH(orders!$D348, products!$A$1:$A$49,0), MATCH(orders!K$1,products!$A$1:$G$1,0))</f>
        <v>0.5</v>
      </c>
      <c r="L348" s="5">
        <f>INDEX(products!$A$1:$G$49,MATCH(orders!$D348, products!$A$1:$A$49,0), MATCH(orders!L$1,products!$A$1:$G$1,0))</f>
        <v>7.77</v>
      </c>
      <c r="M348" s="5">
        <f t="shared" si="15"/>
        <v>23.31</v>
      </c>
      <c r="N348" t="str">
        <f t="shared" si="16"/>
        <v>Arabica</v>
      </c>
      <c r="O348" t="str">
        <f t="shared" si="17"/>
        <v>Light</v>
      </c>
      <c r="P348" t="str">
        <f>_xlfn.XLOOKUP(Table1[[#This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IF(_xlfn.XLOOKUP(C349,customers!$A$1:$A$1001,customers!C348:C1348,,0)=0,"",_xlfn.XLOOKUP(C349,customers!$A$1:$A$1001,customers!C348:C1348,,0))</f>
        <v>rdeaconsonja@archive.org</v>
      </c>
      <c r="H349" s="2" t="str">
        <f>_xlfn.XLOOKUP(orders!C349,customers!$A$1:$A$1001,customers!$G$1:$G$1001,,0)</f>
        <v>United States</v>
      </c>
      <c r="I349" t="str">
        <f>INDEX(products!$A$1:$G$49,MATCH(orders!$D349, products!$A$1:$A$49,0), MATCH(orders!I$1,products!$A$1:$G$1,0))</f>
        <v>Lib</v>
      </c>
      <c r="J349" t="str">
        <f>INDEX(products!$A$1:$G$49,MATCH(orders!$D349, products!$A$1:$A$49,0), MATCH(orders!J$1,products!$A$1:$G$1,0))</f>
        <v>M</v>
      </c>
      <c r="K349" s="4">
        <f>INDEX(products!$A$1:$G$49,MATCH(orders!$D349, products!$A$1:$A$49,0), MATCH(orders!K$1,products!$A$1:$G$1,0))</f>
        <v>1</v>
      </c>
      <c r="L349" s="5">
        <f>INDEX(products!$A$1:$G$49,MATCH(orders!$D349, products!$A$1:$A$49,0), MATCH(orders!L$1,products!$A$1:$G$1,0))</f>
        <v>14.55</v>
      </c>
      <c r="M349" s="5">
        <f t="shared" si="15"/>
        <v>43.650000000000006</v>
      </c>
      <c r="N349" t="str">
        <f t="shared" si="16"/>
        <v>Liberica</v>
      </c>
      <c r="O349" t="str">
        <f t="shared" si="17"/>
        <v>Medium</v>
      </c>
      <c r="P349" t="str">
        <f>_xlfn.XLOOKUP(Table1[[#This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IF(_xlfn.XLOOKUP(C350,customers!$A$1:$A$1001,customers!C349:C1349,,0)=0,"",_xlfn.XLOOKUP(C350,customers!$A$1:$A$1001,customers!C349:C1349,,0))</f>
        <v>jbluckjc@imageshack.us</v>
      </c>
      <c r="H350" s="2" t="str">
        <f>_xlfn.XLOOKUP(orders!C350,customers!$A$1:$A$1001,customers!$G$1:$G$1001,,0)</f>
        <v>United States</v>
      </c>
      <c r="I350" t="str">
        <f>INDEX(products!$A$1:$G$49,MATCH(orders!$D350, products!$A$1:$A$49,0), MATCH(orders!I$1,products!$A$1:$G$1,0))</f>
        <v>Exc</v>
      </c>
      <c r="J350" t="str">
        <f>INDEX(products!$A$1:$G$49,MATCH(orders!$D350, products!$A$1:$A$49,0), MATCH(orders!J$1,products!$A$1:$G$1,0))</f>
        <v>L</v>
      </c>
      <c r="K350" s="4">
        <f>INDEX(products!$A$1:$G$49,MATCH(orders!$D350, products!$A$1:$A$49,0), MATCH(orders!K$1,products!$A$1:$G$1,0))</f>
        <v>2.5</v>
      </c>
      <c r="L350" s="5">
        <f>INDEX(products!$A$1:$G$49,MATCH(orders!$D350, products!$A$1:$A$49,0), MATCH(orders!L$1,products!$A$1:$G$1,0))</f>
        <v>34.154999999999994</v>
      </c>
      <c r="M350" s="5">
        <f t="shared" si="15"/>
        <v>204.92999999999995</v>
      </c>
      <c r="N350" t="str">
        <f t="shared" si="16"/>
        <v>Excelsa</v>
      </c>
      <c r="O350" t="str">
        <f t="shared" si="17"/>
        <v>Light</v>
      </c>
      <c r="P350" t="str">
        <f>_xlfn.XLOOKUP(Table1[[#This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IF(_xlfn.XLOOKUP(C351,customers!$A$1:$A$1001,customers!C350:C1350,,0)=0,"",_xlfn.XLOOKUP(C351,customers!$A$1:$A$1001,customers!C350:C1350,,0))</f>
        <v>jdymokeje@prnewswire.com</v>
      </c>
      <c r="H351" s="2" t="str">
        <f>_xlfn.XLOOKUP(orders!C351,customers!$A$1:$A$1001,customers!$G$1:$G$1001,,0)</f>
        <v>United States</v>
      </c>
      <c r="I351" t="str">
        <f>INDEX(products!$A$1:$G$49,MATCH(orders!$D351, products!$A$1:$A$49,0), MATCH(orders!I$1,products!$A$1:$G$1,0))</f>
        <v>Rob</v>
      </c>
      <c r="J351" t="str">
        <f>INDEX(products!$A$1:$G$49,MATCH(orders!$D351, products!$A$1:$A$49,0), MATCH(orders!J$1,products!$A$1:$G$1,0))</f>
        <v>L</v>
      </c>
      <c r="K351" s="4">
        <f>INDEX(products!$A$1:$G$49,MATCH(orders!$D351, products!$A$1:$A$49,0), MATCH(orders!K$1,products!$A$1:$G$1,0))</f>
        <v>0.2</v>
      </c>
      <c r="L351" s="5">
        <f>INDEX(products!$A$1:$G$49,MATCH(orders!$D351, products!$A$1:$A$49,0), MATCH(orders!L$1,products!$A$1:$G$1,0))</f>
        <v>3.5849999999999995</v>
      </c>
      <c r="M351" s="5">
        <f t="shared" si="15"/>
        <v>14.339999999999998</v>
      </c>
      <c r="N351" t="str">
        <f t="shared" si="16"/>
        <v>Robusta</v>
      </c>
      <c r="O351" t="str">
        <f t="shared" si="17"/>
        <v>Light</v>
      </c>
      <c r="P351" t="str">
        <f>_xlfn.XLOOKUP(Table1[[#This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IF(_xlfn.XLOOKUP(C352,customers!$A$1:$A$1001,customers!C351:C1351,,0)=0,"",_xlfn.XLOOKUP(C352,customers!$A$1:$A$1001,customers!C351:C1351,,0))</f>
        <v>bguddejg@dailymotion.com</v>
      </c>
      <c r="H352" s="2" t="str">
        <f>_xlfn.XLOOKUP(orders!C352,customers!$A$1:$A$1001,customers!$G$1:$G$1001,,0)</f>
        <v>United States</v>
      </c>
      <c r="I352" t="str">
        <f>INDEX(products!$A$1:$G$49,MATCH(orders!$D352, products!$A$1:$A$49,0), MATCH(orders!I$1,products!$A$1:$G$1,0))</f>
        <v>Ara</v>
      </c>
      <c r="J352" t="str">
        <f>INDEX(products!$A$1:$G$49,MATCH(orders!$D352, products!$A$1:$A$49,0), MATCH(orders!J$1,products!$A$1:$G$1,0))</f>
        <v>D</v>
      </c>
      <c r="K352" s="4">
        <f>INDEX(products!$A$1:$G$49,MATCH(orders!$D352, products!$A$1:$A$49,0), MATCH(orders!K$1,products!$A$1:$G$1,0))</f>
        <v>0.5</v>
      </c>
      <c r="L352" s="5">
        <f>INDEX(products!$A$1:$G$49,MATCH(orders!$D352, products!$A$1:$A$49,0), MATCH(orders!L$1,products!$A$1:$G$1,0))</f>
        <v>5.97</v>
      </c>
      <c r="M352" s="5">
        <f t="shared" si="15"/>
        <v>23.88</v>
      </c>
      <c r="N352" t="str">
        <f t="shared" si="16"/>
        <v>Arabica</v>
      </c>
      <c r="O352" t="str">
        <f t="shared" si="17"/>
        <v>Dark</v>
      </c>
      <c r="P352" t="str">
        <f>_xlfn.XLOOKUP(Table1[[#This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IF(_xlfn.XLOOKUP(C353,customers!$A$1:$A$1001,customers!C352:C1352,,0)=0,"",_xlfn.XLOOKUP(C353,customers!$A$1:$A$1001,customers!C352:C1352,,0))</f>
        <v>vdunningji@independent.co.uk</v>
      </c>
      <c r="H353" s="2" t="str">
        <f>_xlfn.XLOOKUP(orders!C353,customers!$A$1:$A$1001,customers!$G$1:$G$1001,,0)</f>
        <v>United States</v>
      </c>
      <c r="I353" t="str">
        <f>INDEX(products!$A$1:$G$49,MATCH(orders!$D353, products!$A$1:$A$49,0), MATCH(orders!I$1,products!$A$1:$G$1,0))</f>
        <v>Ara</v>
      </c>
      <c r="J353" t="str">
        <f>INDEX(products!$A$1:$G$49,MATCH(orders!$D353, products!$A$1:$A$49,0), MATCH(orders!J$1,products!$A$1:$G$1,0))</f>
        <v>M</v>
      </c>
      <c r="K353" s="4">
        <f>INDEX(products!$A$1:$G$49,MATCH(orders!$D353, products!$A$1:$A$49,0), MATCH(orders!K$1,products!$A$1:$G$1,0))</f>
        <v>1</v>
      </c>
      <c r="L353" s="5">
        <f>INDEX(products!$A$1:$G$49,MATCH(orders!$D353, products!$A$1:$A$49,0), MATCH(orders!L$1,products!$A$1:$G$1,0))</f>
        <v>11.25</v>
      </c>
      <c r="M353" s="5">
        <f t="shared" si="15"/>
        <v>22.5</v>
      </c>
      <c r="N353" t="str">
        <f t="shared" si="16"/>
        <v>Arabica</v>
      </c>
      <c r="O353" t="str">
        <f t="shared" si="17"/>
        <v>Medium</v>
      </c>
      <c r="P353" t="str">
        <f>_xlfn.XLOOKUP(Table1[[#This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IF(_xlfn.XLOOKUP(C354,customers!$A$1:$A$1001,customers!C353:C1353,,0)=0,"",_xlfn.XLOOKUP(C354,customers!$A$1:$A$1001,customers!C353:C1353,,0))</f>
        <v>mmiddisiu@dmoz.org</v>
      </c>
      <c r="H354" s="2" t="str">
        <f>_xlfn.XLOOKUP(orders!C354,customers!$A$1:$A$1001,customers!$G$1:$G$1001,,0)</f>
        <v>United States</v>
      </c>
      <c r="I354" t="str">
        <f>INDEX(products!$A$1:$G$49,MATCH(orders!$D354, products!$A$1:$A$49,0), MATCH(orders!I$1,products!$A$1:$G$1,0))</f>
        <v>Exc</v>
      </c>
      <c r="J354" t="str">
        <f>INDEX(products!$A$1:$G$49,MATCH(orders!$D354, products!$A$1:$A$49,0), MATCH(orders!J$1,products!$A$1:$G$1,0))</f>
        <v>D</v>
      </c>
      <c r="K354" s="4">
        <f>INDEX(products!$A$1:$G$49,MATCH(orders!$D354, products!$A$1:$A$49,0), MATCH(orders!K$1,products!$A$1:$G$1,0))</f>
        <v>0.5</v>
      </c>
      <c r="L354" s="5">
        <f>INDEX(products!$A$1:$G$49,MATCH(orders!$D354, products!$A$1:$A$49,0), MATCH(orders!L$1,products!$A$1:$G$1,0))</f>
        <v>7.29</v>
      </c>
      <c r="M354" s="5">
        <f t="shared" si="15"/>
        <v>36.450000000000003</v>
      </c>
      <c r="N354" t="str">
        <f t="shared" si="16"/>
        <v>Excelsa</v>
      </c>
      <c r="O354" t="str">
        <f t="shared" si="17"/>
        <v>Dark</v>
      </c>
      <c r="P354" t="str">
        <f>_xlfn.XLOOKUP(Table1[[#This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IF(_xlfn.XLOOKUP(C355,customers!$A$1:$A$1001,customers!C354:C1354,,0)=0,"",_xlfn.XLOOKUP(C355,customers!$A$1:$A$1001,customers!C354:C1354,,0))</f>
        <v>bfallowesjm@purevolume.com</v>
      </c>
      <c r="H355" s="2" t="str">
        <f>_xlfn.XLOOKUP(orders!C355,customers!$A$1:$A$1001,customers!$G$1:$G$1001,,0)</f>
        <v>United States</v>
      </c>
      <c r="I355" t="str">
        <f>INDEX(products!$A$1:$G$49,MATCH(orders!$D355, products!$A$1:$A$49,0), MATCH(orders!I$1,products!$A$1:$G$1,0))</f>
        <v>Ara</v>
      </c>
      <c r="J355" t="str">
        <f>INDEX(products!$A$1:$G$49,MATCH(orders!$D355, products!$A$1:$A$49,0), MATCH(orders!J$1,products!$A$1:$G$1,0))</f>
        <v>M</v>
      </c>
      <c r="K355" s="4">
        <f>INDEX(products!$A$1:$G$49,MATCH(orders!$D355, products!$A$1:$A$49,0), MATCH(orders!K$1,products!$A$1:$G$1,0))</f>
        <v>0.5</v>
      </c>
      <c r="L355" s="5">
        <f>INDEX(products!$A$1:$G$49,MATCH(orders!$D355, products!$A$1:$A$49,0), MATCH(orders!L$1,products!$A$1:$G$1,0))</f>
        <v>6.75</v>
      </c>
      <c r="M355" s="5">
        <f t="shared" si="15"/>
        <v>27</v>
      </c>
      <c r="N355" t="str">
        <f t="shared" si="16"/>
        <v>Arabica</v>
      </c>
      <c r="O355" t="str">
        <f t="shared" si="17"/>
        <v>Medium</v>
      </c>
      <c r="P355" t="str">
        <f>_xlfn.XLOOKUP(Table1[[#This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IF(_xlfn.XLOOKUP(C356,customers!$A$1:$A$1001,customers!C355:C1355,,0)=0,"",_xlfn.XLOOKUP(C356,customers!$A$1:$A$1001,customers!C355:C1355,,0))</f>
        <v>sdejo@newsvine.com</v>
      </c>
      <c r="H356" s="2" t="str">
        <f>_xlfn.XLOOKUP(orders!C356,customers!$A$1:$A$1001,customers!$G$1:$G$1001,,0)</f>
        <v>United States</v>
      </c>
      <c r="I356" t="str">
        <f>INDEX(products!$A$1:$G$49,MATCH(orders!$D356, products!$A$1:$A$49,0), MATCH(orders!I$1,products!$A$1:$G$1,0))</f>
        <v>Ara</v>
      </c>
      <c r="J356" t="str">
        <f>INDEX(products!$A$1:$G$49,MATCH(orders!$D356, products!$A$1:$A$49,0), MATCH(orders!J$1,products!$A$1:$G$1,0))</f>
        <v>M</v>
      </c>
      <c r="K356" s="4">
        <f>INDEX(products!$A$1:$G$49,MATCH(orders!$D356, products!$A$1:$A$49,0), MATCH(orders!K$1,products!$A$1:$G$1,0))</f>
        <v>2.5</v>
      </c>
      <c r="L356" s="5">
        <f>INDEX(products!$A$1:$G$49,MATCH(orders!$D356, products!$A$1:$A$49,0), MATCH(orders!L$1,products!$A$1:$G$1,0))</f>
        <v>25.874999999999996</v>
      </c>
      <c r="M356" s="5">
        <f t="shared" si="15"/>
        <v>155.24999999999997</v>
      </c>
      <c r="N356" t="str">
        <f t="shared" si="16"/>
        <v>Arabica</v>
      </c>
      <c r="O356" t="str">
        <f t="shared" si="17"/>
        <v>Medium</v>
      </c>
      <c r="P356" t="str">
        <f>_xlfn.XLOOKUP(Table1[[#This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IF(_xlfn.XLOOKUP(C357,customers!$A$1:$A$1001,customers!C356:C1356,,0)=0,"",_xlfn.XLOOKUP(C357,customers!$A$1:$A$1001,customers!C356:C1356,,0))</f>
        <v>scountjq@nba.com</v>
      </c>
      <c r="H357" s="2" t="str">
        <f>_xlfn.XLOOKUP(orders!C357,customers!$A$1:$A$1001,customers!$G$1:$G$1001,,0)</f>
        <v>United States</v>
      </c>
      <c r="I357" t="str">
        <f>INDEX(products!$A$1:$G$49,MATCH(orders!$D357, products!$A$1:$A$49,0), MATCH(orders!I$1,products!$A$1:$G$1,0))</f>
        <v>Ara</v>
      </c>
      <c r="J357" t="str">
        <f>INDEX(products!$A$1:$G$49,MATCH(orders!$D357, products!$A$1:$A$49,0), MATCH(orders!J$1,products!$A$1:$G$1,0))</f>
        <v>D</v>
      </c>
      <c r="K357" s="4">
        <f>INDEX(products!$A$1:$G$49,MATCH(orders!$D357, products!$A$1:$A$49,0), MATCH(orders!K$1,products!$A$1:$G$1,0))</f>
        <v>2.5</v>
      </c>
      <c r="L357" s="5">
        <f>INDEX(products!$A$1:$G$49,MATCH(orders!$D357, products!$A$1:$A$49,0), MATCH(orders!L$1,products!$A$1:$G$1,0))</f>
        <v>22.884999999999998</v>
      </c>
      <c r="M357" s="5">
        <f t="shared" si="15"/>
        <v>114.42499999999998</v>
      </c>
      <c r="N357" t="str">
        <f t="shared" si="16"/>
        <v>Arabica</v>
      </c>
      <c r="O357" t="str">
        <f t="shared" si="17"/>
        <v>Dark</v>
      </c>
      <c r="P357" t="str">
        <f>_xlfn.XLOOKUP(Table1[[#This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IF(_xlfn.XLOOKUP(C358,customers!$A$1:$A$1001,customers!C357:C1357,,0)=0,"",_xlfn.XLOOKUP(C358,customers!$A$1:$A$1001,customers!C357:C1357,,0))</f>
        <v/>
      </c>
      <c r="H358" s="2" t="str">
        <f>_xlfn.XLOOKUP(orders!C358,customers!$A$1:$A$1001,customers!$G$1:$G$1001,,0)</f>
        <v>United States</v>
      </c>
      <c r="I358" t="str">
        <f>INDEX(products!$A$1:$G$49,MATCH(orders!$D358, products!$A$1:$A$49,0), MATCH(orders!I$1,products!$A$1:$G$1,0))</f>
        <v>Lib</v>
      </c>
      <c r="J358" t="str">
        <f>INDEX(products!$A$1:$G$49,MATCH(orders!$D358, products!$A$1:$A$49,0), MATCH(orders!J$1,products!$A$1:$G$1,0))</f>
        <v>D</v>
      </c>
      <c r="K358" s="4">
        <f>INDEX(products!$A$1:$G$49,MATCH(orders!$D358, products!$A$1:$A$49,0), MATCH(orders!K$1,products!$A$1:$G$1,0))</f>
        <v>1</v>
      </c>
      <c r="L358" s="5">
        <f>INDEX(products!$A$1:$G$49,MATCH(orders!$D358, products!$A$1:$A$49,0), MATCH(orders!L$1,products!$A$1:$G$1,0))</f>
        <v>12.95</v>
      </c>
      <c r="M358" s="5">
        <f t="shared" si="15"/>
        <v>51.8</v>
      </c>
      <c r="N358" t="str">
        <f t="shared" si="16"/>
        <v>Liberica</v>
      </c>
      <c r="O358" t="str">
        <f t="shared" si="17"/>
        <v>Dark</v>
      </c>
      <c r="P358" t="str">
        <f>_xlfn.XLOOKUP(Table1[[#This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IF(_xlfn.XLOOKUP(C359,customers!$A$1:$A$1001,customers!C358:C1358,,0)=0,"",_xlfn.XLOOKUP(C359,customers!$A$1:$A$1001,customers!C358:C1358,,0))</f>
        <v>aplluju@dagondesign.com</v>
      </c>
      <c r="H359" s="2" t="str">
        <f>_xlfn.XLOOKUP(orders!C359,customers!$A$1:$A$1001,customers!$G$1:$G$1001,,0)</f>
        <v>United States</v>
      </c>
      <c r="I359" t="str">
        <f>INDEX(products!$A$1:$G$49,MATCH(orders!$D359, products!$A$1:$A$49,0), MATCH(orders!I$1,products!$A$1:$G$1,0))</f>
        <v>Ara</v>
      </c>
      <c r="J359" t="str">
        <f>INDEX(products!$A$1:$G$49,MATCH(orders!$D359, products!$A$1:$A$49,0), MATCH(orders!J$1,products!$A$1:$G$1,0))</f>
        <v>M</v>
      </c>
      <c r="K359" s="4">
        <f>INDEX(products!$A$1:$G$49,MATCH(orders!$D359, products!$A$1:$A$49,0), MATCH(orders!K$1,products!$A$1:$G$1,0))</f>
        <v>2.5</v>
      </c>
      <c r="L359" s="5">
        <f>INDEX(products!$A$1:$G$49,MATCH(orders!$D359, products!$A$1:$A$49,0), MATCH(orders!L$1,products!$A$1:$G$1,0))</f>
        <v>25.874999999999996</v>
      </c>
      <c r="M359" s="5">
        <f t="shared" si="15"/>
        <v>155.24999999999997</v>
      </c>
      <c r="N359" t="str">
        <f t="shared" si="16"/>
        <v>Arabica</v>
      </c>
      <c r="O359" t="str">
        <f t="shared" si="17"/>
        <v>Medium</v>
      </c>
      <c r="P359" t="str">
        <f>_xlfn.XLOOKUP(Table1[[#This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IF(_xlfn.XLOOKUP(C360,customers!$A$1:$A$1001,customers!C359:C1359,,0)=0,"",_xlfn.XLOOKUP(C360,customers!$A$1:$A$1001,customers!C359:C1359,,0))</f>
        <v>sgreedyerjw@parallels.com</v>
      </c>
      <c r="H360" s="2" t="str">
        <f>_xlfn.XLOOKUP(orders!C360,customers!$A$1:$A$1001,customers!$G$1:$G$1001,,0)</f>
        <v>United States</v>
      </c>
      <c r="I360" t="str">
        <f>INDEX(products!$A$1:$G$49,MATCH(orders!$D360, products!$A$1:$A$49,0), MATCH(orders!I$1,products!$A$1:$G$1,0))</f>
        <v>Ara</v>
      </c>
      <c r="J360" t="str">
        <f>INDEX(products!$A$1:$G$49,MATCH(orders!$D360, products!$A$1:$A$49,0), MATCH(orders!J$1,products!$A$1:$G$1,0))</f>
        <v>L</v>
      </c>
      <c r="K360" s="4">
        <f>INDEX(products!$A$1:$G$49,MATCH(orders!$D360, products!$A$1:$A$49,0), MATCH(orders!K$1,products!$A$1:$G$1,0))</f>
        <v>2.5</v>
      </c>
      <c r="L360" s="5">
        <f>INDEX(products!$A$1:$G$49,MATCH(orders!$D360, products!$A$1:$A$49,0), MATCH(orders!L$1,products!$A$1:$G$1,0))</f>
        <v>29.784999999999997</v>
      </c>
      <c r="M360" s="5">
        <f t="shared" si="15"/>
        <v>29.784999999999997</v>
      </c>
      <c r="N360" t="str">
        <f t="shared" si="16"/>
        <v>Arabica</v>
      </c>
      <c r="O360" t="str">
        <f t="shared" si="17"/>
        <v>Light</v>
      </c>
      <c r="P360" t="str">
        <f>_xlfn.XLOOKUP(Table1[[#This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IF(_xlfn.XLOOKUP(C361,customers!$A$1:$A$1001,customers!C360:C1360,,0)=0,"",_xlfn.XLOOKUP(C361,customers!$A$1:$A$1001,customers!C360:C1360,,0))</f>
        <v>dheafordjy@twitpic.com</v>
      </c>
      <c r="H361" s="2" t="str">
        <f>_xlfn.XLOOKUP(orders!C361,customers!$A$1:$A$1001,customers!$G$1:$G$1001,,0)</f>
        <v>United Kingdom</v>
      </c>
      <c r="I361" t="str">
        <f>INDEX(products!$A$1:$G$49,MATCH(orders!$D361, products!$A$1:$A$49,0), MATCH(orders!I$1,products!$A$1:$G$1,0))</f>
        <v>Rob</v>
      </c>
      <c r="J361" t="str">
        <f>INDEX(products!$A$1:$G$49,MATCH(orders!$D361, products!$A$1:$A$49,0), MATCH(orders!J$1,products!$A$1:$G$1,0))</f>
        <v>L</v>
      </c>
      <c r="K361" s="4">
        <f>INDEX(products!$A$1:$G$49,MATCH(orders!$D361, products!$A$1:$A$49,0), MATCH(orders!K$1,products!$A$1:$G$1,0))</f>
        <v>0.2</v>
      </c>
      <c r="L361" s="5">
        <f>INDEX(products!$A$1:$G$49,MATCH(orders!$D361, products!$A$1:$A$49,0), MATCH(orders!L$1,products!$A$1:$G$1,0))</f>
        <v>3.5849999999999995</v>
      </c>
      <c r="M361" s="5">
        <f t="shared" si="15"/>
        <v>21.509999999999998</v>
      </c>
      <c r="N361" t="str">
        <f t="shared" si="16"/>
        <v>Robusta</v>
      </c>
      <c r="O361" t="str">
        <f t="shared" si="17"/>
        <v>Light</v>
      </c>
      <c r="P361" t="str">
        <f>_xlfn.XLOOKUP(Table1[[#This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IF(_xlfn.XLOOKUP(C362,customers!$A$1:$A$1001,customers!C361:C1361,,0)=0,"",_xlfn.XLOOKUP(C362,customers!$A$1:$A$1001,customers!C361:C1361,,0))</f>
        <v>rcrookshanksk0@unc.edu</v>
      </c>
      <c r="H362" s="2" t="str">
        <f>_xlfn.XLOOKUP(orders!C362,customers!$A$1:$A$1001,customers!$G$1:$G$1001,,0)</f>
        <v>United States</v>
      </c>
      <c r="I362" t="str">
        <f>INDEX(products!$A$1:$G$49,MATCH(orders!$D362, products!$A$1:$A$49,0), MATCH(orders!I$1,products!$A$1:$G$1,0))</f>
        <v>Rob</v>
      </c>
      <c r="J362" t="str">
        <f>INDEX(products!$A$1:$G$49,MATCH(orders!$D362, products!$A$1:$A$49,0), MATCH(orders!J$1,products!$A$1:$G$1,0))</f>
        <v>D</v>
      </c>
      <c r="K362" s="4">
        <f>INDEX(products!$A$1:$G$49,MATCH(orders!$D362, products!$A$1:$A$49,0), MATCH(orders!K$1,products!$A$1:$G$1,0))</f>
        <v>2.5</v>
      </c>
      <c r="L362" s="5">
        <f>INDEX(products!$A$1:$G$49,MATCH(orders!$D362, products!$A$1:$A$49,0), MATCH(orders!L$1,products!$A$1:$G$1,0))</f>
        <v>20.584999999999997</v>
      </c>
      <c r="M362" s="5">
        <f t="shared" si="15"/>
        <v>41.169999999999995</v>
      </c>
      <c r="N362" t="str">
        <f t="shared" si="16"/>
        <v>Robusta</v>
      </c>
      <c r="O362" t="str">
        <f t="shared" si="17"/>
        <v>Dark</v>
      </c>
      <c r="P362" t="str">
        <f>_xlfn.XLOOKUP(Table1[[#This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IF(_xlfn.XLOOKUP(C363,customers!$A$1:$A$1001,customers!C362:C1362,,0)=0,"",_xlfn.XLOOKUP(C363,customers!$A$1:$A$1001,customers!C362:C1362,,0))</f>
        <v>nleakek1@cmu.edu</v>
      </c>
      <c r="H363" s="2" t="str">
        <f>_xlfn.XLOOKUP(orders!C363,customers!$A$1:$A$1001,customers!$G$1:$G$1001,,0)</f>
        <v>United States</v>
      </c>
      <c r="I363" t="str">
        <f>INDEX(products!$A$1:$G$49,MATCH(orders!$D363, products!$A$1:$A$49,0), MATCH(orders!I$1,products!$A$1:$G$1,0))</f>
        <v>Rob</v>
      </c>
      <c r="J363" t="str">
        <f>INDEX(products!$A$1:$G$49,MATCH(orders!$D363, products!$A$1:$A$49,0), MATCH(orders!J$1,products!$A$1:$G$1,0))</f>
        <v>M</v>
      </c>
      <c r="K363" s="4">
        <f>INDEX(products!$A$1:$G$49,MATCH(orders!$D363, products!$A$1:$A$49,0), MATCH(orders!K$1,products!$A$1:$G$1,0))</f>
        <v>0.5</v>
      </c>
      <c r="L363" s="5">
        <f>INDEX(products!$A$1:$G$49,MATCH(orders!$D363, products!$A$1:$A$49,0), MATCH(orders!L$1,products!$A$1:$G$1,0))</f>
        <v>5.97</v>
      </c>
      <c r="M363" s="5">
        <f t="shared" si="15"/>
        <v>5.97</v>
      </c>
      <c r="N363" t="str">
        <f t="shared" si="16"/>
        <v>Robusta</v>
      </c>
      <c r="O363" t="str">
        <f t="shared" si="17"/>
        <v>Medium</v>
      </c>
      <c r="P363" t="str">
        <f>_xlfn.XLOOKUP(Table1[[#This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IF(_xlfn.XLOOKUP(C364,customers!$A$1:$A$1001,customers!C363:C1363,,0)=0,"",_xlfn.XLOOKUP(C364,customers!$A$1:$A$1001,customers!C363:C1363,,0))</f>
        <v/>
      </c>
      <c r="H364" s="2" t="str">
        <f>_xlfn.XLOOKUP(orders!C364,customers!$A$1:$A$1001,customers!$G$1:$G$1001,,0)</f>
        <v>United States</v>
      </c>
      <c r="I364" t="str">
        <f>INDEX(products!$A$1:$G$49,MATCH(orders!$D364, products!$A$1:$A$49,0), MATCH(orders!I$1,products!$A$1:$G$1,0))</f>
        <v>Exc</v>
      </c>
      <c r="J364" t="str">
        <f>INDEX(products!$A$1:$G$49,MATCH(orders!$D364, products!$A$1:$A$49,0), MATCH(orders!J$1,products!$A$1:$G$1,0))</f>
        <v>L</v>
      </c>
      <c r="K364" s="4">
        <f>INDEX(products!$A$1:$G$49,MATCH(orders!$D364, products!$A$1:$A$49,0), MATCH(orders!K$1,products!$A$1:$G$1,0))</f>
        <v>1</v>
      </c>
      <c r="L364" s="5">
        <f>INDEX(products!$A$1:$G$49,MATCH(orders!$D364, products!$A$1:$A$49,0), MATCH(orders!L$1,products!$A$1:$G$1,0))</f>
        <v>14.85</v>
      </c>
      <c r="M364" s="5">
        <f t="shared" si="15"/>
        <v>74.25</v>
      </c>
      <c r="N364" t="str">
        <f t="shared" si="16"/>
        <v>Excelsa</v>
      </c>
      <c r="O364" t="str">
        <f t="shared" si="17"/>
        <v>Light</v>
      </c>
      <c r="P364" t="str">
        <f>_xlfn.XLOOKUP(Table1[[#This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IF(_xlfn.XLOOKUP(C365,customers!$A$1:$A$1001,customers!C364:C1364,,0)=0,"",_xlfn.XLOOKUP(C365,customers!$A$1:$A$1001,customers!C364:C1364,,0))</f>
        <v/>
      </c>
      <c r="H365" s="2" t="str">
        <f>_xlfn.XLOOKUP(orders!C365,customers!$A$1:$A$1001,customers!$G$1:$G$1001,,0)</f>
        <v>United States</v>
      </c>
      <c r="I365" t="str">
        <f>INDEX(products!$A$1:$G$49,MATCH(orders!$D365, products!$A$1:$A$49,0), MATCH(orders!I$1,products!$A$1:$G$1,0))</f>
        <v>Lib</v>
      </c>
      <c r="J365" t="str">
        <f>INDEX(products!$A$1:$G$49,MATCH(orders!$D365, products!$A$1:$A$49,0), MATCH(orders!J$1,products!$A$1:$G$1,0))</f>
        <v>M</v>
      </c>
      <c r="K365" s="4">
        <f>INDEX(products!$A$1:$G$49,MATCH(orders!$D365, products!$A$1:$A$49,0), MATCH(orders!K$1,products!$A$1:$G$1,0))</f>
        <v>1</v>
      </c>
      <c r="L365" s="5">
        <f>INDEX(products!$A$1:$G$49,MATCH(orders!$D365, products!$A$1:$A$49,0), MATCH(orders!L$1,products!$A$1:$G$1,0))</f>
        <v>14.55</v>
      </c>
      <c r="M365" s="5">
        <f t="shared" si="15"/>
        <v>87.300000000000011</v>
      </c>
      <c r="N365" t="str">
        <f t="shared" si="16"/>
        <v>Liberica</v>
      </c>
      <c r="O365" t="str">
        <f t="shared" si="17"/>
        <v>Medium</v>
      </c>
      <c r="P365" t="str">
        <f>_xlfn.XLOOKUP(Table1[[#This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IF(_xlfn.XLOOKUP(C366,customers!$A$1:$A$1001,customers!C365:C1365,,0)=0,"",_xlfn.XLOOKUP(C366,customers!$A$1:$A$1001,customers!C365:C1365,,0))</f>
        <v>rhuscroftk8@jimdo.com</v>
      </c>
      <c r="H366" s="2" t="str">
        <f>_xlfn.XLOOKUP(orders!C366,customers!$A$1:$A$1001,customers!$G$1:$G$1001,,0)</f>
        <v>United States</v>
      </c>
      <c r="I366" t="str">
        <f>INDEX(products!$A$1:$G$49,MATCH(orders!$D366, products!$A$1:$A$49,0), MATCH(orders!I$1,products!$A$1:$G$1,0))</f>
        <v>Exc</v>
      </c>
      <c r="J366" t="str">
        <f>INDEX(products!$A$1:$G$49,MATCH(orders!$D366, products!$A$1:$A$49,0), MATCH(orders!J$1,products!$A$1:$G$1,0))</f>
        <v>D</v>
      </c>
      <c r="K366" s="4">
        <f>INDEX(products!$A$1:$G$49,MATCH(orders!$D366, products!$A$1:$A$49,0), MATCH(orders!K$1,products!$A$1:$G$1,0))</f>
        <v>1</v>
      </c>
      <c r="L366" s="5">
        <f>INDEX(products!$A$1:$G$49,MATCH(orders!$D366, products!$A$1:$A$49,0), MATCH(orders!L$1,products!$A$1:$G$1,0))</f>
        <v>12.15</v>
      </c>
      <c r="M366" s="5">
        <f t="shared" si="15"/>
        <v>72.900000000000006</v>
      </c>
      <c r="N366" t="str">
        <f t="shared" si="16"/>
        <v>Excelsa</v>
      </c>
      <c r="O366" t="str">
        <f t="shared" si="17"/>
        <v>Dark</v>
      </c>
      <c r="P366" t="str">
        <f>_xlfn.XLOOKUP(Table1[[#This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IF(_xlfn.XLOOKUP(C367,customers!$A$1:$A$1001,customers!C366:C1366,,0)=0,"",_xlfn.XLOOKUP(C367,customers!$A$1:$A$1001,customers!C366:C1366,,0))</f>
        <v>arudramka@prnewswire.com</v>
      </c>
      <c r="H367" s="2" t="str">
        <f>_xlfn.XLOOKUP(orders!C367,customers!$A$1:$A$1001,customers!$G$1:$G$1001,,0)</f>
        <v>United States</v>
      </c>
      <c r="I367" t="str">
        <f>INDEX(products!$A$1:$G$49,MATCH(orders!$D367, products!$A$1:$A$49,0), MATCH(orders!I$1,products!$A$1:$G$1,0))</f>
        <v>Lib</v>
      </c>
      <c r="J367" t="str">
        <f>INDEX(products!$A$1:$G$49,MATCH(orders!$D367, products!$A$1:$A$49,0), MATCH(orders!J$1,products!$A$1:$G$1,0))</f>
        <v>D</v>
      </c>
      <c r="K367" s="4">
        <f>INDEX(products!$A$1:$G$49,MATCH(orders!$D367, products!$A$1:$A$49,0), MATCH(orders!K$1,products!$A$1:$G$1,0))</f>
        <v>0.5</v>
      </c>
      <c r="L367" s="5">
        <f>INDEX(products!$A$1:$G$49,MATCH(orders!$D367, products!$A$1:$A$49,0), MATCH(orders!L$1,products!$A$1:$G$1,0))</f>
        <v>7.77</v>
      </c>
      <c r="M367" s="5">
        <f t="shared" si="15"/>
        <v>7.77</v>
      </c>
      <c r="N367" t="str">
        <f t="shared" si="16"/>
        <v>Liberica</v>
      </c>
      <c r="O367" t="str">
        <f t="shared" si="17"/>
        <v>Dark</v>
      </c>
      <c r="P367" t="str">
        <f>_xlfn.XLOOKUP(Table1[[#This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IF(_xlfn.XLOOKUP(C368,customers!$A$1:$A$1001,customers!C367:C1367,,0)=0,"",_xlfn.XLOOKUP(C368,customers!$A$1:$A$1001,customers!C367:C1367,,0))</f>
        <v>jmahakc@cyberchimps.com</v>
      </c>
      <c r="H368" s="2" t="str">
        <f>_xlfn.XLOOKUP(orders!C368,customers!$A$1:$A$1001,customers!$G$1:$G$1001,,0)</f>
        <v>United States</v>
      </c>
      <c r="I368" t="str">
        <f>INDEX(products!$A$1:$G$49,MATCH(orders!$D368, products!$A$1:$A$49,0), MATCH(orders!I$1,products!$A$1:$G$1,0))</f>
        <v>Exc</v>
      </c>
      <c r="J368" t="str">
        <f>INDEX(products!$A$1:$G$49,MATCH(orders!$D368, products!$A$1:$A$49,0), MATCH(orders!J$1,products!$A$1:$G$1,0))</f>
        <v>D</v>
      </c>
      <c r="K368" s="4">
        <f>INDEX(products!$A$1:$G$49,MATCH(orders!$D368, products!$A$1:$A$49,0), MATCH(orders!K$1,products!$A$1:$G$1,0))</f>
        <v>0.5</v>
      </c>
      <c r="L368" s="5">
        <f>INDEX(products!$A$1:$G$49,MATCH(orders!$D368, products!$A$1:$A$49,0), MATCH(orders!L$1,products!$A$1:$G$1,0))</f>
        <v>7.29</v>
      </c>
      <c r="M368" s="5">
        <f t="shared" si="15"/>
        <v>43.74</v>
      </c>
      <c r="N368" t="str">
        <f t="shared" si="16"/>
        <v>Excelsa</v>
      </c>
      <c r="O368" t="str">
        <f t="shared" si="17"/>
        <v>Dark</v>
      </c>
      <c r="P368" t="str">
        <f>_xlfn.XLOOKUP(Table1[[#This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IF(_xlfn.XLOOKUP(C369,customers!$A$1:$A$1001,customers!C368:C1368,,0)=0,"",_xlfn.XLOOKUP(C369,customers!$A$1:$A$1001,customers!C368:C1368,,0))</f>
        <v/>
      </c>
      <c r="H369" s="2" t="str">
        <f>_xlfn.XLOOKUP(orders!C369,customers!$A$1:$A$1001,customers!$G$1:$G$1001,,0)</f>
        <v>United States</v>
      </c>
      <c r="I369" t="str">
        <f>INDEX(products!$A$1:$G$49,MATCH(orders!$D369, products!$A$1:$A$49,0), MATCH(orders!I$1,products!$A$1:$G$1,0))</f>
        <v>Lib</v>
      </c>
      <c r="J369" t="str">
        <f>INDEX(products!$A$1:$G$49,MATCH(orders!$D369, products!$A$1:$A$49,0), MATCH(orders!J$1,products!$A$1:$G$1,0))</f>
        <v>M</v>
      </c>
      <c r="K369" s="4">
        <f>INDEX(products!$A$1:$G$49,MATCH(orders!$D369, products!$A$1:$A$49,0), MATCH(orders!K$1,products!$A$1:$G$1,0))</f>
        <v>0.2</v>
      </c>
      <c r="L369" s="5">
        <f>INDEX(products!$A$1:$G$49,MATCH(orders!$D369, products!$A$1:$A$49,0), MATCH(orders!L$1,products!$A$1:$G$1,0))</f>
        <v>4.3650000000000002</v>
      </c>
      <c r="M369" s="5">
        <f t="shared" si="15"/>
        <v>8.73</v>
      </c>
      <c r="N369" t="str">
        <f t="shared" si="16"/>
        <v>Liberica</v>
      </c>
      <c r="O369" t="str">
        <f t="shared" si="17"/>
        <v>Medium</v>
      </c>
      <c r="P369" t="str">
        <f>_xlfn.XLOOKUP(Table1[[#This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IF(_xlfn.XLOOKUP(C370,customers!$A$1:$A$1001,customers!C369:C1369,,0)=0,"",_xlfn.XLOOKUP(C370,customers!$A$1:$A$1001,customers!C369:C1369,,0))</f>
        <v>jtoyekg@pinterest.com</v>
      </c>
      <c r="H370" s="2" t="str">
        <f>_xlfn.XLOOKUP(orders!C370,customers!$A$1:$A$1001,customers!$G$1:$G$1001,,0)</f>
        <v>United States</v>
      </c>
      <c r="I370" t="str">
        <f>INDEX(products!$A$1:$G$49,MATCH(orders!$D370, products!$A$1:$A$49,0), MATCH(orders!I$1,products!$A$1:$G$1,0))</f>
        <v>Exc</v>
      </c>
      <c r="J370" t="str">
        <f>INDEX(products!$A$1:$G$49,MATCH(orders!$D370, products!$A$1:$A$49,0), MATCH(orders!J$1,products!$A$1:$G$1,0))</f>
        <v>M</v>
      </c>
      <c r="K370" s="4">
        <f>INDEX(products!$A$1:$G$49,MATCH(orders!$D370, products!$A$1:$A$49,0), MATCH(orders!K$1,products!$A$1:$G$1,0))</f>
        <v>2.5</v>
      </c>
      <c r="L370" s="5">
        <f>INDEX(products!$A$1:$G$49,MATCH(orders!$D370, products!$A$1:$A$49,0), MATCH(orders!L$1,products!$A$1:$G$1,0))</f>
        <v>31.624999999999996</v>
      </c>
      <c r="M370" s="5">
        <f t="shared" si="15"/>
        <v>63.249999999999993</v>
      </c>
      <c r="N370" t="str">
        <f t="shared" si="16"/>
        <v>Excelsa</v>
      </c>
      <c r="O370" t="str">
        <f t="shared" si="17"/>
        <v>Medium</v>
      </c>
      <c r="P370" t="str">
        <f>_xlfn.XLOOKUP(Table1[[#This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IF(_xlfn.XLOOKUP(C371,customers!$A$1:$A$1001,customers!C370:C1370,,0)=0,"",_xlfn.XLOOKUP(C371,customers!$A$1:$A$1001,customers!C370:C1370,,0))</f>
        <v>nvigrasski@ezinearticles.com</v>
      </c>
      <c r="H371" s="2" t="str">
        <f>_xlfn.XLOOKUP(orders!C371,customers!$A$1:$A$1001,customers!$G$1:$G$1001,,0)</f>
        <v>United States</v>
      </c>
      <c r="I371" t="str">
        <f>INDEX(products!$A$1:$G$49,MATCH(orders!$D371, products!$A$1:$A$49,0), MATCH(orders!I$1,products!$A$1:$G$1,0))</f>
        <v>Exc</v>
      </c>
      <c r="J371" t="str">
        <f>INDEX(products!$A$1:$G$49,MATCH(orders!$D371, products!$A$1:$A$49,0), MATCH(orders!J$1,products!$A$1:$G$1,0))</f>
        <v>L</v>
      </c>
      <c r="K371" s="4">
        <f>INDEX(products!$A$1:$G$49,MATCH(orders!$D371, products!$A$1:$A$49,0), MATCH(orders!K$1,products!$A$1:$G$1,0))</f>
        <v>0.5</v>
      </c>
      <c r="L371" s="5">
        <f>INDEX(products!$A$1:$G$49,MATCH(orders!$D371, products!$A$1:$A$49,0), MATCH(orders!L$1,products!$A$1:$G$1,0))</f>
        <v>8.91</v>
      </c>
      <c r="M371" s="5">
        <f t="shared" si="15"/>
        <v>8.91</v>
      </c>
      <c r="N371" t="str">
        <f t="shared" si="16"/>
        <v>Excelsa</v>
      </c>
      <c r="O371" t="str">
        <f t="shared" si="17"/>
        <v>Light</v>
      </c>
      <c r="P371" t="str">
        <f>_xlfn.XLOOKUP(Table1[[#This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IF(_xlfn.XLOOKUP(C372,customers!$A$1:$A$1001,customers!C371:C1371,,0)=0,"",_xlfn.XLOOKUP(C372,customers!$A$1:$A$1001,customers!C371:C1371,,0))</f>
        <v>kcragellkk@google.com</v>
      </c>
      <c r="H372" s="2" t="str">
        <f>_xlfn.XLOOKUP(orders!C372,customers!$A$1:$A$1001,customers!$G$1:$G$1001,,0)</f>
        <v>United States</v>
      </c>
      <c r="I372" t="str">
        <f>INDEX(products!$A$1:$G$49,MATCH(orders!$D372, products!$A$1:$A$49,0), MATCH(orders!I$1,products!$A$1:$G$1,0))</f>
        <v>Exc</v>
      </c>
      <c r="J372" t="str">
        <f>INDEX(products!$A$1:$G$49,MATCH(orders!$D372, products!$A$1:$A$49,0), MATCH(orders!J$1,products!$A$1:$G$1,0))</f>
        <v>D</v>
      </c>
      <c r="K372" s="4">
        <f>INDEX(products!$A$1:$G$49,MATCH(orders!$D372, products!$A$1:$A$49,0), MATCH(orders!K$1,products!$A$1:$G$1,0))</f>
        <v>1</v>
      </c>
      <c r="L372" s="5">
        <f>INDEX(products!$A$1:$G$49,MATCH(orders!$D372, products!$A$1:$A$49,0), MATCH(orders!L$1,products!$A$1:$G$1,0))</f>
        <v>12.15</v>
      </c>
      <c r="M372" s="5">
        <f t="shared" si="15"/>
        <v>24.3</v>
      </c>
      <c r="N372" t="str">
        <f t="shared" si="16"/>
        <v>Excelsa</v>
      </c>
      <c r="O372" t="str">
        <f t="shared" si="17"/>
        <v>Dark</v>
      </c>
      <c r="P372" t="str">
        <f>_xlfn.XLOOKUP(Table1[[#This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IF(_xlfn.XLOOKUP(C373,customers!$A$1:$A$1001,customers!C372:C1372,,0)=0,"",_xlfn.XLOOKUP(C373,customers!$A$1:$A$1001,customers!C372:C1372,,0))</f>
        <v>rlidgeykm@vimeo.com</v>
      </c>
      <c r="H373" s="2" t="str">
        <f>_xlfn.XLOOKUP(orders!C373,customers!$A$1:$A$1001,customers!$G$1:$G$1001,,0)</f>
        <v>United States</v>
      </c>
      <c r="I373" t="str">
        <f>INDEX(products!$A$1:$G$49,MATCH(orders!$D373, products!$A$1:$A$49,0), MATCH(orders!I$1,products!$A$1:$G$1,0))</f>
        <v>Ara</v>
      </c>
      <c r="J373" t="str">
        <f>INDEX(products!$A$1:$G$49,MATCH(orders!$D373, products!$A$1:$A$49,0), MATCH(orders!J$1,products!$A$1:$G$1,0))</f>
        <v>L</v>
      </c>
      <c r="K373" s="4">
        <f>INDEX(products!$A$1:$G$49,MATCH(orders!$D373, products!$A$1:$A$49,0), MATCH(orders!K$1,products!$A$1:$G$1,0))</f>
        <v>0.5</v>
      </c>
      <c r="L373" s="5">
        <f>INDEX(products!$A$1:$G$49,MATCH(orders!$D373, products!$A$1:$A$49,0), MATCH(orders!L$1,products!$A$1:$G$1,0))</f>
        <v>7.77</v>
      </c>
      <c r="M373" s="5">
        <f t="shared" si="15"/>
        <v>46.62</v>
      </c>
      <c r="N373" t="str">
        <f t="shared" si="16"/>
        <v>Arabica</v>
      </c>
      <c r="O373" t="str">
        <f t="shared" si="17"/>
        <v>Light</v>
      </c>
      <c r="P373" t="str">
        <f>_xlfn.XLOOKUP(Table1[[#This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IF(_xlfn.XLOOKUP(C374,customers!$A$1:$A$1001,customers!C373:C1373,,0)=0,"",_xlfn.XLOOKUP(C374,customers!$A$1:$A$1001,customers!C373:C1373,,0))</f>
        <v/>
      </c>
      <c r="H374" s="2" t="str">
        <f>_xlfn.XLOOKUP(orders!C374,customers!$A$1:$A$1001,customers!$G$1:$G$1001,,0)</f>
        <v>United States</v>
      </c>
      <c r="I374" t="str">
        <f>INDEX(products!$A$1:$G$49,MATCH(orders!$D374, products!$A$1:$A$49,0), MATCH(orders!I$1,products!$A$1:$G$1,0))</f>
        <v>Rob</v>
      </c>
      <c r="J374" t="str">
        <f>INDEX(products!$A$1:$G$49,MATCH(orders!$D374, products!$A$1:$A$49,0), MATCH(orders!J$1,products!$A$1:$G$1,0))</f>
        <v>L</v>
      </c>
      <c r="K374" s="4">
        <f>INDEX(products!$A$1:$G$49,MATCH(orders!$D374, products!$A$1:$A$49,0), MATCH(orders!K$1,products!$A$1:$G$1,0))</f>
        <v>0.5</v>
      </c>
      <c r="L374" s="5">
        <f>INDEX(products!$A$1:$G$49,MATCH(orders!$D374, products!$A$1:$A$49,0), MATCH(orders!L$1,products!$A$1:$G$1,0))</f>
        <v>7.169999999999999</v>
      </c>
      <c r="M374" s="5">
        <f t="shared" si="15"/>
        <v>43.019999999999996</v>
      </c>
      <c r="N374" t="str">
        <f t="shared" si="16"/>
        <v>Robusta</v>
      </c>
      <c r="O374" t="str">
        <f t="shared" si="17"/>
        <v>Light</v>
      </c>
      <c r="P374" t="str">
        <f>_xlfn.XLOOKUP(Table1[[#This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IF(_xlfn.XLOOKUP(C375,customers!$A$1:$A$1001,customers!C374:C1374,,0)=0,"",_xlfn.XLOOKUP(C375,customers!$A$1:$A$1001,customers!C374:C1374,,0))</f>
        <v>holliffkq@sciencedirect.com</v>
      </c>
      <c r="H375" s="2" t="str">
        <f>_xlfn.XLOOKUP(orders!C375,customers!$A$1:$A$1001,customers!$G$1:$G$1001,,0)</f>
        <v>Ireland</v>
      </c>
      <c r="I375" t="str">
        <f>INDEX(products!$A$1:$G$49,MATCH(orders!$D375, products!$A$1:$A$49,0), MATCH(orders!I$1,products!$A$1:$G$1,0))</f>
        <v>Ara</v>
      </c>
      <c r="J375" t="str">
        <f>INDEX(products!$A$1:$G$49,MATCH(orders!$D375, products!$A$1:$A$49,0), MATCH(orders!J$1,products!$A$1:$G$1,0))</f>
        <v>D</v>
      </c>
      <c r="K375" s="4">
        <f>INDEX(products!$A$1:$G$49,MATCH(orders!$D375, products!$A$1:$A$49,0), MATCH(orders!K$1,products!$A$1:$G$1,0))</f>
        <v>0.5</v>
      </c>
      <c r="L375" s="5">
        <f>INDEX(products!$A$1:$G$49,MATCH(orders!$D375, products!$A$1:$A$49,0), MATCH(orders!L$1,products!$A$1:$G$1,0))</f>
        <v>5.97</v>
      </c>
      <c r="M375" s="5">
        <f t="shared" si="15"/>
        <v>17.91</v>
      </c>
      <c r="N375" t="str">
        <f t="shared" si="16"/>
        <v>Arabica</v>
      </c>
      <c r="O375" t="str">
        <f t="shared" si="17"/>
        <v>Dark</v>
      </c>
      <c r="P375" t="str">
        <f>_xlfn.XLOOKUP(Table1[[#This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IF(_xlfn.XLOOKUP(C376,customers!$A$1:$A$1001,customers!C375:C1375,,0)=0,"",_xlfn.XLOOKUP(C376,customers!$A$1:$A$1001,customers!C375:C1375,,0))</f>
        <v>feshmadeks@umn.edu</v>
      </c>
      <c r="H376" s="2" t="str">
        <f>_xlfn.XLOOKUP(orders!C376,customers!$A$1:$A$1001,customers!$G$1:$G$1001,,0)</f>
        <v>United States</v>
      </c>
      <c r="I376" t="str">
        <f>INDEX(products!$A$1:$G$49,MATCH(orders!$D376, products!$A$1:$A$49,0), MATCH(orders!I$1,products!$A$1:$G$1,0))</f>
        <v>Lib</v>
      </c>
      <c r="J376" t="str">
        <f>INDEX(products!$A$1:$G$49,MATCH(orders!$D376, products!$A$1:$A$49,0), MATCH(orders!J$1,products!$A$1:$G$1,0))</f>
        <v>L</v>
      </c>
      <c r="K376" s="4">
        <f>INDEX(products!$A$1:$G$49,MATCH(orders!$D376, products!$A$1:$A$49,0), MATCH(orders!K$1,products!$A$1:$G$1,0))</f>
        <v>0.5</v>
      </c>
      <c r="L376" s="5">
        <f>INDEX(products!$A$1:$G$49,MATCH(orders!$D376, products!$A$1:$A$49,0), MATCH(orders!L$1,products!$A$1:$G$1,0))</f>
        <v>9.51</v>
      </c>
      <c r="M376" s="5">
        <f t="shared" si="15"/>
        <v>38.04</v>
      </c>
      <c r="N376" t="str">
        <f t="shared" si="16"/>
        <v>Liberica</v>
      </c>
      <c r="O376" t="str">
        <f t="shared" si="17"/>
        <v>Light</v>
      </c>
      <c r="P376" t="str">
        <f>_xlfn.XLOOKUP(Table1[[#This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IF(_xlfn.XLOOKUP(C377,customers!$A$1:$A$1001,customers!C376:C1376,,0)=0,"",_xlfn.XLOOKUP(C377,customers!$A$1:$A$1001,customers!C376:C1376,,0))</f>
        <v/>
      </c>
      <c r="H377" s="2" t="str">
        <f>_xlfn.XLOOKUP(orders!C377,customers!$A$1:$A$1001,customers!$G$1:$G$1001,,0)</f>
        <v>United States</v>
      </c>
      <c r="I377" t="str">
        <f>INDEX(products!$A$1:$G$49,MATCH(orders!$D377, products!$A$1:$A$49,0), MATCH(orders!I$1,products!$A$1:$G$1,0))</f>
        <v>Ara</v>
      </c>
      <c r="J377" t="str">
        <f>INDEX(products!$A$1:$G$49,MATCH(orders!$D377, products!$A$1:$A$49,0), MATCH(orders!J$1,products!$A$1:$G$1,0))</f>
        <v>M</v>
      </c>
      <c r="K377" s="4">
        <f>INDEX(products!$A$1:$G$49,MATCH(orders!$D377, products!$A$1:$A$49,0), MATCH(orders!K$1,products!$A$1:$G$1,0))</f>
        <v>0.2</v>
      </c>
      <c r="L377" s="5">
        <f>INDEX(products!$A$1:$G$49,MATCH(orders!$D377, products!$A$1:$A$49,0), MATCH(orders!L$1,products!$A$1:$G$1,0))</f>
        <v>3.375</v>
      </c>
      <c r="M377" s="5">
        <f t="shared" si="15"/>
        <v>6.75</v>
      </c>
      <c r="N377" t="str">
        <f t="shared" si="16"/>
        <v>Arabica</v>
      </c>
      <c r="O377" t="str">
        <f t="shared" si="17"/>
        <v>Medium</v>
      </c>
      <c r="P377" t="str">
        <f>_xlfn.XLOOKUP(Table1[[#This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IF(_xlfn.XLOOKUP(C378,customers!$A$1:$A$1001,customers!C377:C1377,,0)=0,"",_xlfn.XLOOKUP(C378,customers!$A$1:$A$1001,customers!C377:C1377,,0))</f>
        <v>bsterkekw@biblegateway.com</v>
      </c>
      <c r="H378" s="2" t="str">
        <f>_xlfn.XLOOKUP(orders!C378,customers!$A$1:$A$1001,customers!$G$1:$G$1001,,0)</f>
        <v>United States</v>
      </c>
      <c r="I378" t="str">
        <f>INDEX(products!$A$1:$G$49,MATCH(orders!$D378, products!$A$1:$A$49,0), MATCH(orders!I$1,products!$A$1:$G$1,0))</f>
        <v>Rob</v>
      </c>
      <c r="J378" t="str">
        <f>INDEX(products!$A$1:$G$49,MATCH(orders!$D378, products!$A$1:$A$49,0), MATCH(orders!J$1,products!$A$1:$G$1,0))</f>
        <v>M</v>
      </c>
      <c r="K378" s="4">
        <f>INDEX(products!$A$1:$G$49,MATCH(orders!$D378, products!$A$1:$A$49,0), MATCH(orders!K$1,products!$A$1:$G$1,0))</f>
        <v>0.5</v>
      </c>
      <c r="L378" s="5">
        <f>INDEX(products!$A$1:$G$49,MATCH(orders!$D378, products!$A$1:$A$49,0), MATCH(orders!L$1,products!$A$1:$G$1,0))</f>
        <v>5.97</v>
      </c>
      <c r="M378" s="5">
        <f t="shared" si="15"/>
        <v>5.97</v>
      </c>
      <c r="N378" t="str">
        <f t="shared" si="16"/>
        <v>Robusta</v>
      </c>
      <c r="O378" t="str">
        <f t="shared" si="17"/>
        <v>Medium</v>
      </c>
      <c r="P378" t="str">
        <f>_xlfn.XLOOKUP(Table1[[#This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IF(_xlfn.XLOOKUP(C379,customers!$A$1:$A$1001,customers!C378:C1378,,0)=0,"",_xlfn.XLOOKUP(C379,customers!$A$1:$A$1001,customers!C378:C1378,,0))</f>
        <v>ptraiteky@huffingtonpost.com</v>
      </c>
      <c r="H379" s="2" t="str">
        <f>_xlfn.XLOOKUP(orders!C379,customers!$A$1:$A$1001,customers!$G$1:$G$1001,,0)</f>
        <v>Ireland</v>
      </c>
      <c r="I379" t="str">
        <f>INDEX(products!$A$1:$G$49,MATCH(orders!$D379, products!$A$1:$A$49,0), MATCH(orders!I$1,products!$A$1:$G$1,0))</f>
        <v>Rob</v>
      </c>
      <c r="J379" t="str">
        <f>INDEX(products!$A$1:$G$49,MATCH(orders!$D379, products!$A$1:$A$49,0), MATCH(orders!J$1,products!$A$1:$G$1,0))</f>
        <v>D</v>
      </c>
      <c r="K379" s="4">
        <f>INDEX(products!$A$1:$G$49,MATCH(orders!$D379, products!$A$1:$A$49,0), MATCH(orders!K$1,products!$A$1:$G$1,0))</f>
        <v>0.2</v>
      </c>
      <c r="L379" s="5">
        <f>INDEX(products!$A$1:$G$49,MATCH(orders!$D379, products!$A$1:$A$49,0), MATCH(orders!L$1,products!$A$1:$G$1,0))</f>
        <v>2.6849999999999996</v>
      </c>
      <c r="M379" s="5">
        <f t="shared" si="15"/>
        <v>8.0549999999999997</v>
      </c>
      <c r="N379" t="str">
        <f t="shared" si="16"/>
        <v>Robusta</v>
      </c>
      <c r="O379" t="str">
        <f t="shared" si="17"/>
        <v>Dark</v>
      </c>
      <c r="P379" t="str">
        <f>_xlfn.XLOOKUP(Table1[[#This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IF(_xlfn.XLOOKUP(C380,customers!$A$1:$A$1001,customers!C379:C1379,,0)=0,"",_xlfn.XLOOKUP(C380,customers!$A$1:$A$1001,customers!C379:C1379,,0))</f>
        <v>fsulmanl0@washington.edu</v>
      </c>
      <c r="H380" s="2" t="str">
        <f>_xlfn.XLOOKUP(orders!C380,customers!$A$1:$A$1001,customers!$G$1:$G$1001,,0)</f>
        <v>Ireland</v>
      </c>
      <c r="I380" t="str">
        <f>INDEX(products!$A$1:$G$49,MATCH(orders!$D380, products!$A$1:$A$49,0), MATCH(orders!I$1,products!$A$1:$G$1,0))</f>
        <v>Ara</v>
      </c>
      <c r="J380" t="str">
        <f>INDEX(products!$A$1:$G$49,MATCH(orders!$D380, products!$A$1:$A$49,0), MATCH(orders!J$1,products!$A$1:$G$1,0))</f>
        <v>L</v>
      </c>
      <c r="K380" s="4">
        <f>INDEX(products!$A$1:$G$49,MATCH(orders!$D380, products!$A$1:$A$49,0), MATCH(orders!K$1,products!$A$1:$G$1,0))</f>
        <v>0.5</v>
      </c>
      <c r="L380" s="5">
        <f>INDEX(products!$A$1:$G$49,MATCH(orders!$D380, products!$A$1:$A$49,0), MATCH(orders!L$1,products!$A$1:$G$1,0))</f>
        <v>7.77</v>
      </c>
      <c r="M380" s="5">
        <f t="shared" si="15"/>
        <v>23.31</v>
      </c>
      <c r="N380" t="str">
        <f t="shared" si="16"/>
        <v>Arabica</v>
      </c>
      <c r="O380" t="str">
        <f t="shared" si="17"/>
        <v>Light</v>
      </c>
      <c r="P380" t="str">
        <f>_xlfn.XLOOKUP(Table1[[#This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IF(_xlfn.XLOOKUP(C381,customers!$A$1:$A$1001,customers!C380:C1380,,0)=0,"",_xlfn.XLOOKUP(C381,customers!$A$1:$A$1001,customers!C380:C1380,,0))</f>
        <v>lnardonil2@hao123.com</v>
      </c>
      <c r="H381" s="2" t="str">
        <f>_xlfn.XLOOKUP(orders!C381,customers!$A$1:$A$1001,customers!$G$1:$G$1001,,0)</f>
        <v>United Kingdom</v>
      </c>
      <c r="I381" t="str">
        <f>INDEX(products!$A$1:$G$49,MATCH(orders!$D381, products!$A$1:$A$49,0), MATCH(orders!I$1,products!$A$1:$G$1,0))</f>
        <v>Rob</v>
      </c>
      <c r="J381" t="str">
        <f>INDEX(products!$A$1:$G$49,MATCH(orders!$D381, products!$A$1:$A$49,0), MATCH(orders!J$1,products!$A$1:$G$1,0))</f>
        <v>L</v>
      </c>
      <c r="K381" s="4">
        <f>INDEX(products!$A$1:$G$49,MATCH(orders!$D381, products!$A$1:$A$49,0), MATCH(orders!K$1,products!$A$1:$G$1,0))</f>
        <v>0.5</v>
      </c>
      <c r="L381" s="5">
        <f>INDEX(products!$A$1:$G$49,MATCH(orders!$D381, products!$A$1:$A$49,0), MATCH(orders!L$1,products!$A$1:$G$1,0))</f>
        <v>7.169999999999999</v>
      </c>
      <c r="M381" s="5">
        <f t="shared" si="15"/>
        <v>43.019999999999996</v>
      </c>
      <c r="N381" t="str">
        <f t="shared" si="16"/>
        <v>Robusta</v>
      </c>
      <c r="O381" t="str">
        <f t="shared" si="17"/>
        <v>Light</v>
      </c>
      <c r="P381" t="str">
        <f>_xlfn.XLOOKUP(Table1[[#This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IF(_xlfn.XLOOKUP(C382,customers!$A$1:$A$1001,customers!C381:C1381,,0)=0,"",_xlfn.XLOOKUP(C382,customers!$A$1:$A$1001,customers!C381:C1381,,0))</f>
        <v>bfallowesjm@purevolume.com</v>
      </c>
      <c r="H382" s="2" t="str">
        <f>_xlfn.XLOOKUP(orders!C382,customers!$A$1:$A$1001,customers!$G$1:$G$1001,,0)</f>
        <v>United States</v>
      </c>
      <c r="I382" t="str">
        <f>INDEX(products!$A$1:$G$49,MATCH(orders!$D382, products!$A$1:$A$49,0), MATCH(orders!I$1,products!$A$1:$G$1,0))</f>
        <v>Lib</v>
      </c>
      <c r="J382" t="str">
        <f>INDEX(products!$A$1:$G$49,MATCH(orders!$D382, products!$A$1:$A$49,0), MATCH(orders!J$1,products!$A$1:$G$1,0))</f>
        <v>D</v>
      </c>
      <c r="K382" s="4">
        <f>INDEX(products!$A$1:$G$49,MATCH(orders!$D382, products!$A$1:$A$49,0), MATCH(orders!K$1,products!$A$1:$G$1,0))</f>
        <v>0.5</v>
      </c>
      <c r="L382" s="5">
        <f>INDEX(products!$A$1:$G$49,MATCH(orders!$D382, products!$A$1:$A$49,0), MATCH(orders!L$1,products!$A$1:$G$1,0))</f>
        <v>7.77</v>
      </c>
      <c r="M382" s="5">
        <f t="shared" si="15"/>
        <v>23.31</v>
      </c>
      <c r="N382" t="str">
        <f t="shared" si="16"/>
        <v>Liberica</v>
      </c>
      <c r="O382" t="str">
        <f t="shared" si="17"/>
        <v>Dark</v>
      </c>
      <c r="P382" t="str">
        <f>_xlfn.XLOOKUP(Table1[[#This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IF(_xlfn.XLOOKUP(C383,customers!$A$1:$A$1001,customers!C382:C1382,,0)=0,"",_xlfn.XLOOKUP(C383,customers!$A$1:$A$1001,customers!C382:C1382,,0))</f>
        <v>sdanilchikl6@mit.edu</v>
      </c>
      <c r="H383" s="2" t="str">
        <f>_xlfn.XLOOKUP(orders!C383,customers!$A$1:$A$1001,customers!$G$1:$G$1001,,0)</f>
        <v>United States</v>
      </c>
      <c r="I383" t="str">
        <f>INDEX(products!$A$1:$G$49,MATCH(orders!$D383, products!$A$1:$A$49,0), MATCH(orders!I$1,products!$A$1:$G$1,0))</f>
        <v>Ara</v>
      </c>
      <c r="J383" t="str">
        <f>INDEX(products!$A$1:$G$49,MATCH(orders!$D383, products!$A$1:$A$49,0), MATCH(orders!J$1,products!$A$1:$G$1,0))</f>
        <v>D</v>
      </c>
      <c r="K383" s="4">
        <f>INDEX(products!$A$1:$G$49,MATCH(orders!$D383, products!$A$1:$A$49,0), MATCH(orders!K$1,products!$A$1:$G$1,0))</f>
        <v>0.2</v>
      </c>
      <c r="L383" s="5">
        <f>INDEX(products!$A$1:$G$49,MATCH(orders!$D383, products!$A$1:$A$49,0), MATCH(orders!L$1,products!$A$1:$G$1,0))</f>
        <v>2.9849999999999999</v>
      </c>
      <c r="M383" s="5">
        <f t="shared" si="15"/>
        <v>14.924999999999999</v>
      </c>
      <c r="N383" t="str">
        <f t="shared" si="16"/>
        <v>Arabica</v>
      </c>
      <c r="O383" t="str">
        <f t="shared" si="17"/>
        <v>Dark</v>
      </c>
      <c r="P383" t="str">
        <f>_xlfn.XLOOKUP(Table1[[#This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IF(_xlfn.XLOOKUP(C384,customers!$A$1:$A$1001,customers!C383:C1383,,0)=0,"",_xlfn.XLOOKUP(C384,customers!$A$1:$A$1001,customers!C383:C1383,,0))</f>
        <v>bfolomkinl8@yolasite.com</v>
      </c>
      <c r="H384" s="2" t="str">
        <f>_xlfn.XLOOKUP(orders!C384,customers!$A$1:$A$1001,customers!$G$1:$G$1001,,0)</f>
        <v>United States</v>
      </c>
      <c r="I384" t="str">
        <f>INDEX(products!$A$1:$G$49,MATCH(orders!$D384, products!$A$1:$A$49,0), MATCH(orders!I$1,products!$A$1:$G$1,0))</f>
        <v>Exc</v>
      </c>
      <c r="J384" t="str">
        <f>INDEX(products!$A$1:$G$49,MATCH(orders!$D384, products!$A$1:$A$49,0), MATCH(orders!J$1,products!$A$1:$G$1,0))</f>
        <v>D</v>
      </c>
      <c r="K384" s="4">
        <f>INDEX(products!$A$1:$G$49,MATCH(orders!$D384, products!$A$1:$A$49,0), MATCH(orders!K$1,products!$A$1:$G$1,0))</f>
        <v>0.5</v>
      </c>
      <c r="L384" s="5">
        <f>INDEX(products!$A$1:$G$49,MATCH(orders!$D384, products!$A$1:$A$49,0), MATCH(orders!L$1,products!$A$1:$G$1,0))</f>
        <v>7.29</v>
      </c>
      <c r="M384" s="5">
        <f t="shared" si="15"/>
        <v>21.87</v>
      </c>
      <c r="N384" t="str">
        <f t="shared" si="16"/>
        <v>Excelsa</v>
      </c>
      <c r="O384" t="str">
        <f t="shared" si="17"/>
        <v>Dark</v>
      </c>
      <c r="P384" t="str">
        <f>_xlfn.XLOOKUP(Table1[[#This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IF(_xlfn.XLOOKUP(C385,customers!$A$1:$A$1001,customers!C384:C1384,,0)=0,"",_xlfn.XLOOKUP(C385,customers!$A$1:$A$1001,customers!C384:C1384,,0))</f>
        <v>rdela@usa.gov</v>
      </c>
      <c r="H385" s="2" t="str">
        <f>_xlfn.XLOOKUP(orders!C385,customers!$A$1:$A$1001,customers!$G$1:$G$1001,,0)</f>
        <v>United States</v>
      </c>
      <c r="I385" t="str">
        <f>INDEX(products!$A$1:$G$49,MATCH(orders!$D385, products!$A$1:$A$49,0), MATCH(orders!I$1,products!$A$1:$G$1,0))</f>
        <v>Exc</v>
      </c>
      <c r="J385" t="str">
        <f>INDEX(products!$A$1:$G$49,MATCH(orders!$D385, products!$A$1:$A$49,0), MATCH(orders!J$1,products!$A$1:$G$1,0))</f>
        <v>L</v>
      </c>
      <c r="K385" s="4">
        <f>INDEX(products!$A$1:$G$49,MATCH(orders!$D385, products!$A$1:$A$49,0), MATCH(orders!K$1,products!$A$1:$G$1,0))</f>
        <v>0.5</v>
      </c>
      <c r="L385" s="5">
        <f>INDEX(products!$A$1:$G$49,MATCH(orders!$D385, products!$A$1:$A$49,0), MATCH(orders!L$1,products!$A$1:$G$1,0))</f>
        <v>8.91</v>
      </c>
      <c r="M385" s="5">
        <f t="shared" si="15"/>
        <v>53.46</v>
      </c>
      <c r="N385" t="str">
        <f t="shared" si="16"/>
        <v>Excelsa</v>
      </c>
      <c r="O385" t="str">
        <f t="shared" si="17"/>
        <v>Light</v>
      </c>
      <c r="P385" t="str">
        <f>_xlfn.XLOOKUP(Table1[[#This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IF(_xlfn.XLOOKUP(C386,customers!$A$1:$A$1001,customers!C385:C1385,,0)=0,"",_xlfn.XLOOKUP(C386,customers!$A$1:$A$1001,customers!C385:C1385,,0))</f>
        <v/>
      </c>
      <c r="H386" s="2" t="str">
        <f>_xlfn.XLOOKUP(orders!C386,customers!$A$1:$A$1001,customers!$G$1:$G$1001,,0)</f>
        <v>United States</v>
      </c>
      <c r="I386" t="str">
        <f>INDEX(products!$A$1:$G$49,MATCH(orders!$D386, products!$A$1:$A$49,0), MATCH(orders!I$1,products!$A$1:$G$1,0))</f>
        <v>Ara</v>
      </c>
      <c r="J386" t="str">
        <f>INDEX(products!$A$1:$G$49,MATCH(orders!$D386, products!$A$1:$A$49,0), MATCH(orders!J$1,products!$A$1:$G$1,0))</f>
        <v>L</v>
      </c>
      <c r="K386" s="4">
        <f>INDEX(products!$A$1:$G$49,MATCH(orders!$D386, products!$A$1:$A$49,0), MATCH(orders!K$1,products!$A$1:$G$1,0))</f>
        <v>2.5</v>
      </c>
      <c r="L386" s="5">
        <f>INDEX(products!$A$1:$G$49,MATCH(orders!$D386, products!$A$1:$A$49,0), MATCH(orders!L$1,products!$A$1:$G$1,0))</f>
        <v>29.784999999999997</v>
      </c>
      <c r="M386" s="5">
        <f t="shared" si="15"/>
        <v>119.13999999999999</v>
      </c>
      <c r="N386" t="str">
        <f t="shared" si="16"/>
        <v>Arabica</v>
      </c>
      <c r="O386" t="str">
        <f t="shared" si="17"/>
        <v>Light</v>
      </c>
      <c r="P386" t="str">
        <f>_xlfn.XLOOKUP(Table1[[#This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IF(_xlfn.XLOOKUP(C387,customers!$A$1:$A$1001,customers!C386:C1386,,0)=0,"",_xlfn.XLOOKUP(C387,customers!$A$1:$A$1001,customers!C386:C1386,,0))</f>
        <v>mbrimilcombele@cnn.com</v>
      </c>
      <c r="H387" s="2" t="str">
        <f>_xlfn.XLOOKUP(orders!C387,customers!$A$1:$A$1001,customers!$G$1:$G$1001,,0)</f>
        <v>United States</v>
      </c>
      <c r="I387" t="str">
        <f>INDEX(products!$A$1:$G$49,MATCH(orders!$D387, products!$A$1:$A$49,0), MATCH(orders!I$1,products!$A$1:$G$1,0))</f>
        <v>Lib</v>
      </c>
      <c r="J387" t="str">
        <f>INDEX(products!$A$1:$G$49,MATCH(orders!$D387, products!$A$1:$A$49,0), MATCH(orders!J$1,products!$A$1:$G$1,0))</f>
        <v>M</v>
      </c>
      <c r="K387" s="4">
        <f>INDEX(products!$A$1:$G$49,MATCH(orders!$D387, products!$A$1:$A$49,0), MATCH(orders!K$1,products!$A$1:$G$1,0))</f>
        <v>0.5</v>
      </c>
      <c r="L387" s="5">
        <f>INDEX(products!$A$1:$G$49,MATCH(orders!$D387, products!$A$1:$A$49,0), MATCH(orders!L$1,products!$A$1:$G$1,0))</f>
        <v>8.73</v>
      </c>
      <c r="M387" s="5">
        <f t="shared" ref="M387:M450" si="18">L387*E387</f>
        <v>43.650000000000006</v>
      </c>
      <c r="N387" t="str">
        <f t="shared" ref="N387:N450" si="19">IF(I387="Rob","Robusta",IF(I387="Exc", "Excelsa", IF(I387="Ara","Arabica", IF(I387="lib","Liberica",""))))</f>
        <v>Liberica</v>
      </c>
      <c r="O387" t="str">
        <f t="shared" ref="O387:O450" si="20">IF(J387="M","Medium",IF(J387="L","Light",IF(J387="D","Dark", "")))</f>
        <v>Medium</v>
      </c>
      <c r="P387" t="str">
        <f>_xlfn.XLOOKUP(Table1[[#This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IF(_xlfn.XLOOKUP(C388,customers!$A$1:$A$1001,customers!C387:C1387,,0)=0,"",_xlfn.XLOOKUP(C388,customers!$A$1:$A$1001,customers!C387:C1387,,0))</f>
        <v/>
      </c>
      <c r="H388" s="2" t="str">
        <f>_xlfn.XLOOKUP(orders!C388,customers!$A$1:$A$1001,customers!$G$1:$G$1001,,0)</f>
        <v>United States</v>
      </c>
      <c r="I388" t="str">
        <f>INDEX(products!$A$1:$G$49,MATCH(orders!$D388, products!$A$1:$A$49,0), MATCH(orders!I$1,products!$A$1:$G$1,0))</f>
        <v>Ara</v>
      </c>
      <c r="J388" t="str">
        <f>INDEX(products!$A$1:$G$49,MATCH(orders!$D388, products!$A$1:$A$49,0), MATCH(orders!J$1,products!$A$1:$G$1,0))</f>
        <v>D</v>
      </c>
      <c r="K388" s="4">
        <f>INDEX(products!$A$1:$G$49,MATCH(orders!$D388, products!$A$1:$A$49,0), MATCH(orders!K$1,products!$A$1:$G$1,0))</f>
        <v>0.2</v>
      </c>
      <c r="L388" s="5">
        <f>INDEX(products!$A$1:$G$49,MATCH(orders!$D388, products!$A$1:$A$49,0), MATCH(orders!L$1,products!$A$1:$G$1,0))</f>
        <v>2.9849999999999999</v>
      </c>
      <c r="M388" s="5">
        <f t="shared" si="18"/>
        <v>17.91</v>
      </c>
      <c r="N388" t="str">
        <f t="shared" si="19"/>
        <v>Arabica</v>
      </c>
      <c r="O388" t="str">
        <f t="shared" si="20"/>
        <v>Dark</v>
      </c>
      <c r="P388" t="str">
        <f>_xlfn.XLOOKUP(Table1[[#This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IF(_xlfn.XLOOKUP(C389,customers!$A$1:$A$1001,customers!C388:C1388,,0)=0,"",_xlfn.XLOOKUP(C389,customers!$A$1:$A$1001,customers!C388:C1388,,0))</f>
        <v/>
      </c>
      <c r="H389" s="2" t="str">
        <f>_xlfn.XLOOKUP(orders!C389,customers!$A$1:$A$1001,customers!$G$1:$G$1001,,0)</f>
        <v>United States</v>
      </c>
      <c r="I389" t="str">
        <f>INDEX(products!$A$1:$G$49,MATCH(orders!$D389, products!$A$1:$A$49,0), MATCH(orders!I$1,products!$A$1:$G$1,0))</f>
        <v>Exc</v>
      </c>
      <c r="J389" t="str">
        <f>INDEX(products!$A$1:$G$49,MATCH(orders!$D389, products!$A$1:$A$49,0), MATCH(orders!J$1,products!$A$1:$G$1,0))</f>
        <v>L</v>
      </c>
      <c r="K389" s="4">
        <f>INDEX(products!$A$1:$G$49,MATCH(orders!$D389, products!$A$1:$A$49,0), MATCH(orders!K$1,products!$A$1:$G$1,0))</f>
        <v>1</v>
      </c>
      <c r="L389" s="5">
        <f>INDEX(products!$A$1:$G$49,MATCH(orders!$D389, products!$A$1:$A$49,0), MATCH(orders!L$1,products!$A$1:$G$1,0))</f>
        <v>14.85</v>
      </c>
      <c r="M389" s="5">
        <f t="shared" si="18"/>
        <v>74.25</v>
      </c>
      <c r="N389" t="str">
        <f t="shared" si="19"/>
        <v>Excelsa</v>
      </c>
      <c r="O389" t="str">
        <f t="shared" si="20"/>
        <v>Light</v>
      </c>
      <c r="P389" t="str">
        <f>_xlfn.XLOOKUP(Table1[[#This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IF(_xlfn.XLOOKUP(C390,customers!$A$1:$A$1001,customers!C389:C1389,,0)=0,"",_xlfn.XLOOKUP(C390,customers!$A$1:$A$1001,customers!C389:C1389,,0))</f>
        <v>jdeehanlk@about.me</v>
      </c>
      <c r="H390" s="2" t="str">
        <f>_xlfn.XLOOKUP(orders!C390,customers!$A$1:$A$1001,customers!$G$1:$G$1001,,0)</f>
        <v>United States</v>
      </c>
      <c r="I390" t="str">
        <f>INDEX(products!$A$1:$G$49,MATCH(orders!$D390, products!$A$1:$A$49,0), MATCH(orders!I$1,products!$A$1:$G$1,0))</f>
        <v>Lib</v>
      </c>
      <c r="J390" t="str">
        <f>INDEX(products!$A$1:$G$49,MATCH(orders!$D390, products!$A$1:$A$49,0), MATCH(orders!J$1,products!$A$1:$G$1,0))</f>
        <v>D</v>
      </c>
      <c r="K390" s="4">
        <f>INDEX(products!$A$1:$G$49,MATCH(orders!$D390, products!$A$1:$A$49,0), MATCH(orders!K$1,products!$A$1:$G$1,0))</f>
        <v>0.2</v>
      </c>
      <c r="L390" s="5">
        <f>INDEX(products!$A$1:$G$49,MATCH(orders!$D390, products!$A$1:$A$49,0), MATCH(orders!L$1,products!$A$1:$G$1,0))</f>
        <v>3.8849999999999998</v>
      </c>
      <c r="M390" s="5">
        <f t="shared" si="18"/>
        <v>11.654999999999999</v>
      </c>
      <c r="N390" t="str">
        <f t="shared" si="19"/>
        <v>Liberica</v>
      </c>
      <c r="O390" t="str">
        <f t="shared" si="20"/>
        <v>Dark</v>
      </c>
      <c r="P390" t="str">
        <f>_xlfn.XLOOKUP(Table1[[#This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IF(_xlfn.XLOOKUP(C391,customers!$A$1:$A$1001,customers!C390:C1390,,0)=0,"",_xlfn.XLOOKUP(C391,customers!$A$1:$A$1001,customers!C390:C1390,,0))</f>
        <v>dmatonlm@utexas.edu</v>
      </c>
      <c r="H391" s="2" t="str">
        <f>_xlfn.XLOOKUP(orders!C391,customers!$A$1:$A$1001,customers!$G$1:$G$1001,,0)</f>
        <v>United States</v>
      </c>
      <c r="I391" t="str">
        <f>INDEX(products!$A$1:$G$49,MATCH(orders!$D391, products!$A$1:$A$49,0), MATCH(orders!I$1,products!$A$1:$G$1,0))</f>
        <v>Lib</v>
      </c>
      <c r="J391" t="str">
        <f>INDEX(products!$A$1:$G$49,MATCH(orders!$D391, products!$A$1:$A$49,0), MATCH(orders!J$1,products!$A$1:$G$1,0))</f>
        <v>D</v>
      </c>
      <c r="K391" s="4">
        <f>INDEX(products!$A$1:$G$49,MATCH(orders!$D391, products!$A$1:$A$49,0), MATCH(orders!K$1,products!$A$1:$G$1,0))</f>
        <v>0.5</v>
      </c>
      <c r="L391" s="5">
        <f>INDEX(products!$A$1:$G$49,MATCH(orders!$D391, products!$A$1:$A$49,0), MATCH(orders!L$1,products!$A$1:$G$1,0))</f>
        <v>7.77</v>
      </c>
      <c r="M391" s="5">
        <f t="shared" si="18"/>
        <v>23.31</v>
      </c>
      <c r="N391" t="str">
        <f t="shared" si="19"/>
        <v>Liberica</v>
      </c>
      <c r="O391" t="str">
        <f t="shared" si="20"/>
        <v>Dark</v>
      </c>
      <c r="P391" t="str">
        <f>_xlfn.XLOOKUP(Table1[[#This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IF(_xlfn.XLOOKUP(C392,customers!$A$1:$A$1001,customers!C391:C1391,,0)=0,"",_xlfn.XLOOKUP(C392,customers!$A$1:$A$1001,customers!C391:C1391,,0))</f>
        <v/>
      </c>
      <c r="H392" s="2" t="str">
        <f>_xlfn.XLOOKUP(orders!C392,customers!$A$1:$A$1001,customers!$G$1:$G$1001,,0)</f>
        <v>United States</v>
      </c>
      <c r="I392" t="str">
        <f>INDEX(products!$A$1:$G$49,MATCH(orders!$D392, products!$A$1:$A$49,0), MATCH(orders!I$1,products!$A$1:$G$1,0))</f>
        <v>Exc</v>
      </c>
      <c r="J392" t="str">
        <f>INDEX(products!$A$1:$G$49,MATCH(orders!$D392, products!$A$1:$A$49,0), MATCH(orders!J$1,products!$A$1:$G$1,0))</f>
        <v>D</v>
      </c>
      <c r="K392" s="4">
        <f>INDEX(products!$A$1:$G$49,MATCH(orders!$D392, products!$A$1:$A$49,0), MATCH(orders!K$1,products!$A$1:$G$1,0))</f>
        <v>0.5</v>
      </c>
      <c r="L392" s="5">
        <f>INDEX(products!$A$1:$G$49,MATCH(orders!$D392, products!$A$1:$A$49,0), MATCH(orders!L$1,products!$A$1:$G$1,0))</f>
        <v>7.29</v>
      </c>
      <c r="M392" s="5">
        <f t="shared" si="18"/>
        <v>14.58</v>
      </c>
      <c r="N392" t="str">
        <f t="shared" si="19"/>
        <v>Excelsa</v>
      </c>
      <c r="O392" t="str">
        <f t="shared" si="20"/>
        <v>Dark</v>
      </c>
      <c r="P392" t="str">
        <f>_xlfn.XLOOKUP(Table1[[#This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IF(_xlfn.XLOOKUP(C393,customers!$A$1:$A$1001,customers!C392:C1392,,0)=0,"",_xlfn.XLOOKUP(C393,customers!$A$1:$A$1001,customers!C392:C1392,,0))</f>
        <v>agregorattilq@vistaprint.com</v>
      </c>
      <c r="H393" s="2" t="str">
        <f>_xlfn.XLOOKUP(orders!C393,customers!$A$1:$A$1001,customers!$G$1:$G$1001,,0)</f>
        <v>United States</v>
      </c>
      <c r="I393" t="str">
        <f>INDEX(products!$A$1:$G$49,MATCH(orders!$D393, products!$A$1:$A$49,0), MATCH(orders!I$1,products!$A$1:$G$1,0))</f>
        <v>Ara</v>
      </c>
      <c r="J393" t="str">
        <f>INDEX(products!$A$1:$G$49,MATCH(orders!$D393, products!$A$1:$A$49,0), MATCH(orders!J$1,products!$A$1:$G$1,0))</f>
        <v>M</v>
      </c>
      <c r="K393" s="4">
        <f>INDEX(products!$A$1:$G$49,MATCH(orders!$D393, products!$A$1:$A$49,0), MATCH(orders!K$1,products!$A$1:$G$1,0))</f>
        <v>0.5</v>
      </c>
      <c r="L393" s="5">
        <f>INDEX(products!$A$1:$G$49,MATCH(orders!$D393, products!$A$1:$A$49,0), MATCH(orders!L$1,products!$A$1:$G$1,0))</f>
        <v>6.75</v>
      </c>
      <c r="M393" s="5">
        <f t="shared" si="18"/>
        <v>13.5</v>
      </c>
      <c r="N393" t="str">
        <f t="shared" si="19"/>
        <v>Arabica</v>
      </c>
      <c r="O393" t="str">
        <f t="shared" si="20"/>
        <v>Medium</v>
      </c>
      <c r="P393" t="str">
        <f>_xlfn.XLOOKUP(Table1[[#This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IF(_xlfn.XLOOKUP(C394,customers!$A$1:$A$1001,customers!C393:C1393,,0)=0,"",_xlfn.XLOOKUP(C394,customers!$A$1:$A$1001,customers!C393:C1393,,0))</f>
        <v>gwhiteheadls@hp.com</v>
      </c>
      <c r="H394" s="2" t="str">
        <f>_xlfn.XLOOKUP(orders!C394,customers!$A$1:$A$1001,customers!$G$1:$G$1001,,0)</f>
        <v>United States</v>
      </c>
      <c r="I394" t="str">
        <f>INDEX(products!$A$1:$G$49,MATCH(orders!$D394, products!$A$1:$A$49,0), MATCH(orders!I$1,products!$A$1:$G$1,0))</f>
        <v>Exc</v>
      </c>
      <c r="J394" t="str">
        <f>INDEX(products!$A$1:$G$49,MATCH(orders!$D394, products!$A$1:$A$49,0), MATCH(orders!J$1,products!$A$1:$G$1,0))</f>
        <v>L</v>
      </c>
      <c r="K394" s="4">
        <f>INDEX(products!$A$1:$G$49,MATCH(orders!$D394, products!$A$1:$A$49,0), MATCH(orders!K$1,products!$A$1:$G$1,0))</f>
        <v>1</v>
      </c>
      <c r="L394" s="5">
        <f>INDEX(products!$A$1:$G$49,MATCH(orders!$D394, products!$A$1:$A$49,0), MATCH(orders!L$1,products!$A$1:$G$1,0))</f>
        <v>14.85</v>
      </c>
      <c r="M394" s="5">
        <f t="shared" si="18"/>
        <v>89.1</v>
      </c>
      <c r="N394" t="str">
        <f t="shared" si="19"/>
        <v>Excelsa</v>
      </c>
      <c r="O394" t="str">
        <f t="shared" si="20"/>
        <v>Light</v>
      </c>
      <c r="P394" t="str">
        <f>_xlfn.XLOOKUP(Table1[[#This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IF(_xlfn.XLOOKUP(C395,customers!$A$1:$A$1001,customers!C394:C1394,,0)=0,"",_xlfn.XLOOKUP(C395,customers!$A$1:$A$1001,customers!C394:C1394,,0))</f>
        <v>hjodrellelt@samsung.com</v>
      </c>
      <c r="H395" s="2" t="str">
        <f>_xlfn.XLOOKUP(orders!C395,customers!$A$1:$A$1001,customers!$G$1:$G$1001,,0)</f>
        <v>United States</v>
      </c>
      <c r="I395" t="str">
        <f>INDEX(products!$A$1:$G$49,MATCH(orders!$D395, products!$A$1:$A$49,0), MATCH(orders!I$1,products!$A$1:$G$1,0))</f>
        <v>Ara</v>
      </c>
      <c r="J395" t="str">
        <f>INDEX(products!$A$1:$G$49,MATCH(orders!$D395, products!$A$1:$A$49,0), MATCH(orders!J$1,products!$A$1:$G$1,0))</f>
        <v>L</v>
      </c>
      <c r="K395" s="4">
        <f>INDEX(products!$A$1:$G$49,MATCH(orders!$D395, products!$A$1:$A$49,0), MATCH(orders!K$1,products!$A$1:$G$1,0))</f>
        <v>0.2</v>
      </c>
      <c r="L395" s="5">
        <f>INDEX(products!$A$1:$G$49,MATCH(orders!$D395, products!$A$1:$A$49,0), MATCH(orders!L$1,products!$A$1:$G$1,0))</f>
        <v>3.8849999999999998</v>
      </c>
      <c r="M395" s="5">
        <f t="shared" si="18"/>
        <v>3.8849999999999998</v>
      </c>
      <c r="N395" t="str">
        <f t="shared" si="19"/>
        <v>Arabica</v>
      </c>
      <c r="O395" t="str">
        <f t="shared" si="20"/>
        <v>Light</v>
      </c>
      <c r="P395" t="str">
        <f>_xlfn.XLOOKUP(Table1[[#This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IF(_xlfn.XLOOKUP(C396,customers!$A$1:$A$1001,customers!C395:C1395,,0)=0,"",_xlfn.XLOOKUP(C396,customers!$A$1:$A$1001,customers!C395:C1395,,0))</f>
        <v>knottramlw@odnoklassniki.ru</v>
      </c>
      <c r="H396" s="2" t="str">
        <f>_xlfn.XLOOKUP(orders!C396,customers!$A$1:$A$1001,customers!$G$1:$G$1001,,0)</f>
        <v>United States</v>
      </c>
      <c r="I396" t="str">
        <f>INDEX(products!$A$1:$G$49,MATCH(orders!$D396, products!$A$1:$A$49,0), MATCH(orders!I$1,products!$A$1:$G$1,0))</f>
        <v>Rob</v>
      </c>
      <c r="J396" t="str">
        <f>INDEX(products!$A$1:$G$49,MATCH(orders!$D396, products!$A$1:$A$49,0), MATCH(orders!J$1,products!$A$1:$G$1,0))</f>
        <v>L</v>
      </c>
      <c r="K396" s="4">
        <f>INDEX(products!$A$1:$G$49,MATCH(orders!$D396, products!$A$1:$A$49,0), MATCH(orders!K$1,products!$A$1:$G$1,0))</f>
        <v>2.5</v>
      </c>
      <c r="L396" s="5">
        <f>INDEX(products!$A$1:$G$49,MATCH(orders!$D396, products!$A$1:$A$49,0), MATCH(orders!L$1,products!$A$1:$G$1,0))</f>
        <v>27.484999999999996</v>
      </c>
      <c r="M396" s="5">
        <f t="shared" si="18"/>
        <v>109.93999999999998</v>
      </c>
      <c r="N396" t="str">
        <f t="shared" si="19"/>
        <v>Robusta</v>
      </c>
      <c r="O396" t="str">
        <f t="shared" si="20"/>
        <v>Light</v>
      </c>
      <c r="P396" t="str">
        <f>_xlfn.XLOOKUP(Table1[[#This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IF(_xlfn.XLOOKUP(C397,customers!$A$1:$A$1001,customers!C396:C1396,,0)=0,"",_xlfn.XLOOKUP(C397,customers!$A$1:$A$1001,customers!C396:C1396,,0))</f>
        <v>smcshealy@photobucket.com</v>
      </c>
      <c r="H397" s="2" t="str">
        <f>_xlfn.XLOOKUP(orders!C397,customers!$A$1:$A$1001,customers!$G$1:$G$1001,,0)</f>
        <v>United States</v>
      </c>
      <c r="I397" t="str">
        <f>INDEX(products!$A$1:$G$49,MATCH(orders!$D397, products!$A$1:$A$49,0), MATCH(orders!I$1,products!$A$1:$G$1,0))</f>
        <v>Lib</v>
      </c>
      <c r="J397" t="str">
        <f>INDEX(products!$A$1:$G$49,MATCH(orders!$D397, products!$A$1:$A$49,0), MATCH(orders!J$1,products!$A$1:$G$1,0))</f>
        <v>D</v>
      </c>
      <c r="K397" s="4">
        <f>INDEX(products!$A$1:$G$49,MATCH(orders!$D397, products!$A$1:$A$49,0), MATCH(orders!K$1,products!$A$1:$G$1,0))</f>
        <v>0.5</v>
      </c>
      <c r="L397" s="5">
        <f>INDEX(products!$A$1:$G$49,MATCH(orders!$D397, products!$A$1:$A$49,0), MATCH(orders!L$1,products!$A$1:$G$1,0))</f>
        <v>7.77</v>
      </c>
      <c r="M397" s="5">
        <f t="shared" si="18"/>
        <v>46.62</v>
      </c>
      <c r="N397" t="str">
        <f t="shared" si="19"/>
        <v>Liberica</v>
      </c>
      <c r="O397" t="str">
        <f t="shared" si="20"/>
        <v>Dark</v>
      </c>
      <c r="P397" t="str">
        <f>_xlfn.XLOOKUP(Table1[[#This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IF(_xlfn.XLOOKUP(C398,customers!$A$1:$A$1001,customers!C397:C1397,,0)=0,"",_xlfn.XLOOKUP(C398,customers!$A$1:$A$1001,customers!C397:C1397,,0))</f>
        <v>jgippesm0@cloudflare.com</v>
      </c>
      <c r="H398" s="2" t="str">
        <f>_xlfn.XLOOKUP(orders!C398,customers!$A$1:$A$1001,customers!$G$1:$G$1001,,0)</f>
        <v>United States</v>
      </c>
      <c r="I398" t="str">
        <f>INDEX(products!$A$1:$G$49,MATCH(orders!$D398, products!$A$1:$A$49,0), MATCH(orders!I$1,products!$A$1:$G$1,0))</f>
        <v>Ara</v>
      </c>
      <c r="J398" t="str">
        <f>INDEX(products!$A$1:$G$49,MATCH(orders!$D398, products!$A$1:$A$49,0), MATCH(orders!J$1,products!$A$1:$G$1,0))</f>
        <v>L</v>
      </c>
      <c r="K398" s="4">
        <f>INDEX(products!$A$1:$G$49,MATCH(orders!$D398, products!$A$1:$A$49,0), MATCH(orders!K$1,products!$A$1:$G$1,0))</f>
        <v>0.5</v>
      </c>
      <c r="L398" s="5">
        <f>INDEX(products!$A$1:$G$49,MATCH(orders!$D398, products!$A$1:$A$49,0), MATCH(orders!L$1,products!$A$1:$G$1,0))</f>
        <v>7.77</v>
      </c>
      <c r="M398" s="5">
        <f t="shared" si="18"/>
        <v>38.849999999999994</v>
      </c>
      <c r="N398" t="str">
        <f t="shared" si="19"/>
        <v>Arabica</v>
      </c>
      <c r="O398" t="str">
        <f t="shared" si="20"/>
        <v>Light</v>
      </c>
      <c r="P398" t="str">
        <f>_xlfn.XLOOKUP(Table1[[#This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IF(_xlfn.XLOOKUP(C399,customers!$A$1:$A$1001,customers!C398:C1398,,0)=0,"",_xlfn.XLOOKUP(C399,customers!$A$1:$A$1001,customers!C398:C1398,,0))</f>
        <v>gtrengrovem2@elpais.com</v>
      </c>
      <c r="H399" s="2" t="str">
        <f>_xlfn.XLOOKUP(orders!C399,customers!$A$1:$A$1001,customers!$G$1:$G$1001,,0)</f>
        <v>United States</v>
      </c>
      <c r="I399" t="str">
        <f>INDEX(products!$A$1:$G$49,MATCH(orders!$D399, products!$A$1:$A$49,0), MATCH(orders!I$1,products!$A$1:$G$1,0))</f>
        <v>Lib</v>
      </c>
      <c r="J399" t="str">
        <f>INDEX(products!$A$1:$G$49,MATCH(orders!$D399, products!$A$1:$A$49,0), MATCH(orders!J$1,products!$A$1:$G$1,0))</f>
        <v>D</v>
      </c>
      <c r="K399" s="4">
        <f>INDEX(products!$A$1:$G$49,MATCH(orders!$D399, products!$A$1:$A$49,0), MATCH(orders!K$1,products!$A$1:$G$1,0))</f>
        <v>0.5</v>
      </c>
      <c r="L399" s="5">
        <f>INDEX(products!$A$1:$G$49,MATCH(orders!$D399, products!$A$1:$A$49,0), MATCH(orders!L$1,products!$A$1:$G$1,0))</f>
        <v>7.77</v>
      </c>
      <c r="M399" s="5">
        <f t="shared" si="18"/>
        <v>31.08</v>
      </c>
      <c r="N399" t="str">
        <f t="shared" si="19"/>
        <v>Liberica</v>
      </c>
      <c r="O399" t="str">
        <f t="shared" si="20"/>
        <v>Dark</v>
      </c>
      <c r="P399" t="str">
        <f>_xlfn.XLOOKUP(Table1[[#This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IF(_xlfn.XLOOKUP(C400,customers!$A$1:$A$1001,customers!C399:C1399,,0)=0,"",_xlfn.XLOOKUP(C400,customers!$A$1:$A$1001,customers!C399:C1399,,0))</f>
        <v/>
      </c>
      <c r="H400" s="2" t="str">
        <f>_xlfn.XLOOKUP(orders!C400,customers!$A$1:$A$1001,customers!$G$1:$G$1001,,0)</f>
        <v>United States</v>
      </c>
      <c r="I400" t="str">
        <f>INDEX(products!$A$1:$G$49,MATCH(orders!$D400, products!$A$1:$A$49,0), MATCH(orders!I$1,products!$A$1:$G$1,0))</f>
        <v>Ara</v>
      </c>
      <c r="J400" t="str">
        <f>INDEX(products!$A$1:$G$49,MATCH(orders!$D400, products!$A$1:$A$49,0), MATCH(orders!J$1,products!$A$1:$G$1,0))</f>
        <v>D</v>
      </c>
      <c r="K400" s="4">
        <f>INDEX(products!$A$1:$G$49,MATCH(orders!$D400, products!$A$1:$A$49,0), MATCH(orders!K$1,products!$A$1:$G$1,0))</f>
        <v>0.2</v>
      </c>
      <c r="L400" s="5">
        <f>INDEX(products!$A$1:$G$49,MATCH(orders!$D400, products!$A$1:$A$49,0), MATCH(orders!L$1,products!$A$1:$G$1,0))</f>
        <v>2.9849999999999999</v>
      </c>
      <c r="M400" s="5">
        <f t="shared" si="18"/>
        <v>17.91</v>
      </c>
      <c r="N400" t="str">
        <f t="shared" si="19"/>
        <v>Arabica</v>
      </c>
      <c r="O400" t="str">
        <f t="shared" si="20"/>
        <v>Dark</v>
      </c>
      <c r="P400" t="str">
        <f>_xlfn.XLOOKUP(Table1[[#This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IF(_xlfn.XLOOKUP(C401,customers!$A$1:$A$1001,customers!C400:C1400,,0)=0,"",_xlfn.XLOOKUP(C401,customers!$A$1:$A$1001,customers!C400:C1400,,0))</f>
        <v>gruggenm6@nymag.com</v>
      </c>
      <c r="H401" s="2" t="str">
        <f>_xlfn.XLOOKUP(orders!C401,customers!$A$1:$A$1001,customers!$G$1:$G$1001,,0)</f>
        <v>United Kingdom</v>
      </c>
      <c r="I401" t="str">
        <f>INDEX(products!$A$1:$G$49,MATCH(orders!$D401, products!$A$1:$A$49,0), MATCH(orders!I$1,products!$A$1:$G$1,0))</f>
        <v>Exc</v>
      </c>
      <c r="J401" t="str">
        <f>INDEX(products!$A$1:$G$49,MATCH(orders!$D401, products!$A$1:$A$49,0), MATCH(orders!J$1,products!$A$1:$G$1,0))</f>
        <v>D</v>
      </c>
      <c r="K401" s="4">
        <f>INDEX(products!$A$1:$G$49,MATCH(orders!$D401, products!$A$1:$A$49,0), MATCH(orders!K$1,products!$A$1:$G$1,0))</f>
        <v>2.5</v>
      </c>
      <c r="L401" s="5">
        <f>INDEX(products!$A$1:$G$49,MATCH(orders!$D401, products!$A$1:$A$49,0), MATCH(orders!L$1,products!$A$1:$G$1,0))</f>
        <v>27.945</v>
      </c>
      <c r="M401" s="5">
        <f t="shared" si="18"/>
        <v>167.67000000000002</v>
      </c>
      <c r="N401" t="str">
        <f t="shared" si="19"/>
        <v>Excelsa</v>
      </c>
      <c r="O401" t="str">
        <f t="shared" si="20"/>
        <v>Dark</v>
      </c>
      <c r="P401" t="str">
        <f>_xlfn.XLOOKUP(Table1[[#This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IF(_xlfn.XLOOKUP(C402,customers!$A$1:$A$1001,customers!C401:C1401,,0)=0,"",_xlfn.XLOOKUP(C402,customers!$A$1:$A$1001,customers!C401:C1401,,0))</f>
        <v>mfrightm8@harvard.edu</v>
      </c>
      <c r="H402" s="2" t="str">
        <f>_xlfn.XLOOKUP(orders!C402,customers!$A$1:$A$1001,customers!$G$1:$G$1001,,0)</f>
        <v>United States</v>
      </c>
      <c r="I402" t="str">
        <f>INDEX(products!$A$1:$G$49,MATCH(orders!$D402, products!$A$1:$A$49,0), MATCH(orders!I$1,products!$A$1:$G$1,0))</f>
        <v>Lib</v>
      </c>
      <c r="J402" t="str">
        <f>INDEX(products!$A$1:$G$49,MATCH(orders!$D402, products!$A$1:$A$49,0), MATCH(orders!J$1,products!$A$1:$G$1,0))</f>
        <v>L</v>
      </c>
      <c r="K402" s="4">
        <f>INDEX(products!$A$1:$G$49,MATCH(orders!$D402, products!$A$1:$A$49,0), MATCH(orders!K$1,products!$A$1:$G$1,0))</f>
        <v>1</v>
      </c>
      <c r="L402" s="5">
        <f>INDEX(products!$A$1:$G$49,MATCH(orders!$D402, products!$A$1:$A$49,0), MATCH(orders!L$1,products!$A$1:$G$1,0))</f>
        <v>15.85</v>
      </c>
      <c r="M402" s="5">
        <f t="shared" si="18"/>
        <v>63.4</v>
      </c>
      <c r="N402" t="str">
        <f t="shared" si="19"/>
        <v>Liberica</v>
      </c>
      <c r="O402" t="str">
        <f t="shared" si="20"/>
        <v>Light</v>
      </c>
      <c r="P402" t="str">
        <f>_xlfn.XLOOKUP(Table1[[#This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IF(_xlfn.XLOOKUP(C403,customers!$A$1:$A$1001,customers!C402:C1402,,0)=0,"",_xlfn.XLOOKUP(C403,customers!$A$1:$A$1001,customers!C402:C1402,,0))</f>
        <v>ckrzysztofiakma@skyrock.com</v>
      </c>
      <c r="H403" s="2" t="str">
        <f>_xlfn.XLOOKUP(orders!C403,customers!$A$1:$A$1001,customers!$G$1:$G$1001,,0)</f>
        <v>United States</v>
      </c>
      <c r="I403" t="str">
        <f>INDEX(products!$A$1:$G$49,MATCH(orders!$D403, products!$A$1:$A$49,0), MATCH(orders!I$1,products!$A$1:$G$1,0))</f>
        <v>Lib</v>
      </c>
      <c r="J403" t="str">
        <f>INDEX(products!$A$1:$G$49,MATCH(orders!$D403, products!$A$1:$A$49,0), MATCH(orders!J$1,products!$A$1:$G$1,0))</f>
        <v>M</v>
      </c>
      <c r="K403" s="4">
        <f>INDEX(products!$A$1:$G$49,MATCH(orders!$D403, products!$A$1:$A$49,0), MATCH(orders!K$1,products!$A$1:$G$1,0))</f>
        <v>0.2</v>
      </c>
      <c r="L403" s="5">
        <f>INDEX(products!$A$1:$G$49,MATCH(orders!$D403, products!$A$1:$A$49,0), MATCH(orders!L$1,products!$A$1:$G$1,0))</f>
        <v>4.3650000000000002</v>
      </c>
      <c r="M403" s="5">
        <f t="shared" si="18"/>
        <v>8.73</v>
      </c>
      <c r="N403" t="str">
        <f t="shared" si="19"/>
        <v>Liberica</v>
      </c>
      <c r="O403" t="str">
        <f t="shared" si="20"/>
        <v>Medium</v>
      </c>
      <c r="P403" t="str">
        <f>_xlfn.XLOOKUP(Table1[[#This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IF(_xlfn.XLOOKUP(C404,customers!$A$1:$A$1001,customers!C403:C1403,,0)=0,"",_xlfn.XLOOKUP(C404,customers!$A$1:$A$1001,customers!C403:C1403,,0))</f>
        <v/>
      </c>
      <c r="H404" s="2" t="str">
        <f>_xlfn.XLOOKUP(orders!C404,customers!$A$1:$A$1001,customers!$G$1:$G$1001,,0)</f>
        <v>United States</v>
      </c>
      <c r="I404" t="str">
        <f>INDEX(products!$A$1:$G$49,MATCH(orders!$D404, products!$A$1:$A$49,0), MATCH(orders!I$1,products!$A$1:$G$1,0))</f>
        <v>Rob</v>
      </c>
      <c r="J404" t="str">
        <f>INDEX(products!$A$1:$G$49,MATCH(orders!$D404, products!$A$1:$A$49,0), MATCH(orders!J$1,products!$A$1:$G$1,0))</f>
        <v>D</v>
      </c>
      <c r="K404" s="4">
        <f>INDEX(products!$A$1:$G$49,MATCH(orders!$D404, products!$A$1:$A$49,0), MATCH(orders!K$1,products!$A$1:$G$1,0))</f>
        <v>1</v>
      </c>
      <c r="L404" s="5">
        <f>INDEX(products!$A$1:$G$49,MATCH(orders!$D404, products!$A$1:$A$49,0), MATCH(orders!L$1,products!$A$1:$G$1,0))</f>
        <v>8.9499999999999993</v>
      </c>
      <c r="M404" s="5">
        <f t="shared" si="18"/>
        <v>26.849999999999998</v>
      </c>
      <c r="N404" t="str">
        <f t="shared" si="19"/>
        <v>Robusta</v>
      </c>
      <c r="O404" t="str">
        <f t="shared" si="20"/>
        <v>Dark</v>
      </c>
      <c r="P404" t="str">
        <f>_xlfn.XLOOKUP(Table1[[#This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IF(_xlfn.XLOOKUP(C405,customers!$A$1:$A$1001,customers!C404:C1404,,0)=0,"",_xlfn.XLOOKUP(C405,customers!$A$1:$A$1001,customers!C404:C1404,,0))</f>
        <v/>
      </c>
      <c r="H405" s="2" t="str">
        <f>_xlfn.XLOOKUP(orders!C405,customers!$A$1:$A$1001,customers!$G$1:$G$1001,,0)</f>
        <v>United States</v>
      </c>
      <c r="I405" t="str">
        <f>INDEX(products!$A$1:$G$49,MATCH(orders!$D405, products!$A$1:$A$49,0), MATCH(orders!I$1,products!$A$1:$G$1,0))</f>
        <v>Lib</v>
      </c>
      <c r="J405" t="str">
        <f>INDEX(products!$A$1:$G$49,MATCH(orders!$D405, products!$A$1:$A$49,0), MATCH(orders!J$1,products!$A$1:$G$1,0))</f>
        <v>L</v>
      </c>
      <c r="K405" s="4">
        <f>INDEX(products!$A$1:$G$49,MATCH(orders!$D405, products!$A$1:$A$49,0), MATCH(orders!K$1,products!$A$1:$G$1,0))</f>
        <v>0.2</v>
      </c>
      <c r="L405" s="5">
        <f>INDEX(products!$A$1:$G$49,MATCH(orders!$D405, products!$A$1:$A$49,0), MATCH(orders!L$1,products!$A$1:$G$1,0))</f>
        <v>4.7549999999999999</v>
      </c>
      <c r="M405" s="5">
        <f t="shared" si="18"/>
        <v>9.51</v>
      </c>
      <c r="N405" t="str">
        <f t="shared" si="19"/>
        <v>Liberica</v>
      </c>
      <c r="O405" t="str">
        <f t="shared" si="20"/>
        <v>Light</v>
      </c>
      <c r="P405" t="str">
        <f>_xlfn.XLOOKUP(Table1[[#This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IF(_xlfn.XLOOKUP(C406,customers!$A$1:$A$1001,customers!C405:C1405,,0)=0,"",_xlfn.XLOOKUP(C406,customers!$A$1:$A$1001,customers!C405:C1405,,0))</f>
        <v>amellandmg@pen.io</v>
      </c>
      <c r="H406" s="2" t="str">
        <f>_xlfn.XLOOKUP(orders!C406,customers!$A$1:$A$1001,customers!$G$1:$G$1001,,0)</f>
        <v>Ireland</v>
      </c>
      <c r="I406" t="str">
        <f>INDEX(products!$A$1:$G$49,MATCH(orders!$D406, products!$A$1:$A$49,0), MATCH(orders!I$1,products!$A$1:$G$1,0))</f>
        <v>Ara</v>
      </c>
      <c r="J406" t="str">
        <f>INDEX(products!$A$1:$G$49,MATCH(orders!$D406, products!$A$1:$A$49,0), MATCH(orders!J$1,products!$A$1:$G$1,0))</f>
        <v>D</v>
      </c>
      <c r="K406" s="4">
        <f>INDEX(products!$A$1:$G$49,MATCH(orders!$D406, products!$A$1:$A$49,0), MATCH(orders!K$1,products!$A$1:$G$1,0))</f>
        <v>1</v>
      </c>
      <c r="L406" s="5">
        <f>INDEX(products!$A$1:$G$49,MATCH(orders!$D406, products!$A$1:$A$49,0), MATCH(orders!L$1,products!$A$1:$G$1,0))</f>
        <v>9.9499999999999993</v>
      </c>
      <c r="M406" s="5">
        <f t="shared" si="18"/>
        <v>39.799999999999997</v>
      </c>
      <c r="N406" t="str">
        <f t="shared" si="19"/>
        <v>Arabica</v>
      </c>
      <c r="O406" t="str">
        <f t="shared" si="20"/>
        <v>Dark</v>
      </c>
      <c r="P406" t="str">
        <f>_xlfn.XLOOKUP(Table1[[#This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IF(_xlfn.XLOOKUP(C407,customers!$A$1:$A$1001,customers!C406:C1406,,0)=0,"",_xlfn.XLOOKUP(C407,customers!$A$1:$A$1001,customers!C406:C1406,,0))</f>
        <v>abalsdonemi@toplist.cz</v>
      </c>
      <c r="H407" s="2" t="str">
        <f>_xlfn.XLOOKUP(orders!C407,customers!$A$1:$A$1001,customers!$G$1:$G$1001,,0)</f>
        <v>United States</v>
      </c>
      <c r="I407" t="str">
        <f>INDEX(products!$A$1:$G$49,MATCH(orders!$D407, products!$A$1:$A$49,0), MATCH(orders!I$1,products!$A$1:$G$1,0))</f>
        <v>Exc</v>
      </c>
      <c r="J407" t="str">
        <f>INDEX(products!$A$1:$G$49,MATCH(orders!$D407, products!$A$1:$A$49,0), MATCH(orders!J$1,products!$A$1:$G$1,0))</f>
        <v>M</v>
      </c>
      <c r="K407" s="4">
        <f>INDEX(products!$A$1:$G$49,MATCH(orders!$D407, products!$A$1:$A$49,0), MATCH(orders!K$1,products!$A$1:$G$1,0))</f>
        <v>0.5</v>
      </c>
      <c r="L407" s="5">
        <f>INDEX(products!$A$1:$G$49,MATCH(orders!$D407, products!$A$1:$A$49,0), MATCH(orders!L$1,products!$A$1:$G$1,0))</f>
        <v>8.25</v>
      </c>
      <c r="M407" s="5">
        <f t="shared" si="18"/>
        <v>24.75</v>
      </c>
      <c r="N407" t="str">
        <f t="shared" si="19"/>
        <v>Excelsa</v>
      </c>
      <c r="O407" t="str">
        <f t="shared" si="20"/>
        <v>Medium</v>
      </c>
      <c r="P407" t="str">
        <f>_xlfn.XLOOKUP(Table1[[#This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IF(_xlfn.XLOOKUP(C408,customers!$A$1:$A$1001,customers!C407:C1407,,0)=0,"",_xlfn.XLOOKUP(C408,customers!$A$1:$A$1001,customers!C407:C1407,,0))</f>
        <v>mglovermk@cnbc.com</v>
      </c>
      <c r="H408" s="2" t="str">
        <f>_xlfn.XLOOKUP(orders!C408,customers!$A$1:$A$1001,customers!$G$1:$G$1001,,0)</f>
        <v>United States</v>
      </c>
      <c r="I408" t="str">
        <f>INDEX(products!$A$1:$G$49,MATCH(orders!$D408, products!$A$1:$A$49,0), MATCH(orders!I$1,products!$A$1:$G$1,0))</f>
        <v>Exc</v>
      </c>
      <c r="J408" t="str">
        <f>INDEX(products!$A$1:$G$49,MATCH(orders!$D408, products!$A$1:$A$49,0), MATCH(orders!J$1,products!$A$1:$G$1,0))</f>
        <v>M</v>
      </c>
      <c r="K408" s="4">
        <f>INDEX(products!$A$1:$G$49,MATCH(orders!$D408, products!$A$1:$A$49,0), MATCH(orders!K$1,products!$A$1:$G$1,0))</f>
        <v>1</v>
      </c>
      <c r="L408" s="5">
        <f>INDEX(products!$A$1:$G$49,MATCH(orders!$D408, products!$A$1:$A$49,0), MATCH(orders!L$1,products!$A$1:$G$1,0))</f>
        <v>13.75</v>
      </c>
      <c r="M408" s="5">
        <f t="shared" si="18"/>
        <v>68.75</v>
      </c>
      <c r="N408" t="str">
        <f t="shared" si="19"/>
        <v>Excelsa</v>
      </c>
      <c r="O408" t="str">
        <f t="shared" si="20"/>
        <v>Medium</v>
      </c>
      <c r="P408" t="str">
        <f>_xlfn.XLOOKUP(Table1[[#This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IF(_xlfn.XLOOKUP(C409,customers!$A$1:$A$1001,customers!C408:C1408,,0)=0,"",_xlfn.XLOOKUP(C409,customers!$A$1:$A$1001,customers!C408:C1408,,0))</f>
        <v>senefermm@blog.com</v>
      </c>
      <c r="H409" s="2" t="str">
        <f>_xlfn.XLOOKUP(orders!C409,customers!$A$1:$A$1001,customers!$G$1:$G$1001,,0)</f>
        <v>Ireland</v>
      </c>
      <c r="I409" t="str">
        <f>INDEX(products!$A$1:$G$49,MATCH(orders!$D409, products!$A$1:$A$49,0), MATCH(orders!I$1,products!$A$1:$G$1,0))</f>
        <v>Exc</v>
      </c>
      <c r="J409" t="str">
        <f>INDEX(products!$A$1:$G$49,MATCH(orders!$D409, products!$A$1:$A$49,0), MATCH(orders!J$1,products!$A$1:$G$1,0))</f>
        <v>M</v>
      </c>
      <c r="K409" s="4">
        <f>INDEX(products!$A$1:$G$49,MATCH(orders!$D409, products!$A$1:$A$49,0), MATCH(orders!K$1,products!$A$1:$G$1,0))</f>
        <v>0.5</v>
      </c>
      <c r="L409" s="5">
        <f>INDEX(products!$A$1:$G$49,MATCH(orders!$D409, products!$A$1:$A$49,0), MATCH(orders!L$1,products!$A$1:$G$1,0))</f>
        <v>8.25</v>
      </c>
      <c r="M409" s="5">
        <f t="shared" si="18"/>
        <v>49.5</v>
      </c>
      <c r="N409" t="str">
        <f t="shared" si="19"/>
        <v>Excelsa</v>
      </c>
      <c r="O409" t="str">
        <f t="shared" si="20"/>
        <v>Medium</v>
      </c>
      <c r="P409" t="str">
        <f>_xlfn.XLOOKUP(Table1[[#This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IF(_xlfn.XLOOKUP(C410,customers!$A$1:$A$1001,customers!C409:C1409,,0)=0,"",_xlfn.XLOOKUP(C410,customers!$A$1:$A$1001,customers!C409:C1409,,0))</f>
        <v>mgundrymo@omniture.com</v>
      </c>
      <c r="H410" s="2" t="str">
        <f>_xlfn.XLOOKUP(orders!C410,customers!$A$1:$A$1001,customers!$G$1:$G$1001,,0)</f>
        <v>United States</v>
      </c>
      <c r="I410" t="str">
        <f>INDEX(products!$A$1:$G$49,MATCH(orders!$D410, products!$A$1:$A$49,0), MATCH(orders!I$1,products!$A$1:$G$1,0))</f>
        <v>Ara</v>
      </c>
      <c r="J410" t="str">
        <f>INDEX(products!$A$1:$G$49,MATCH(orders!$D410, products!$A$1:$A$49,0), MATCH(orders!J$1,products!$A$1:$G$1,0))</f>
        <v>M</v>
      </c>
      <c r="K410" s="4">
        <f>INDEX(products!$A$1:$G$49,MATCH(orders!$D410, products!$A$1:$A$49,0), MATCH(orders!K$1,products!$A$1:$G$1,0))</f>
        <v>2.5</v>
      </c>
      <c r="L410" s="5">
        <f>INDEX(products!$A$1:$G$49,MATCH(orders!$D410, products!$A$1:$A$49,0), MATCH(orders!L$1,products!$A$1:$G$1,0))</f>
        <v>25.874999999999996</v>
      </c>
      <c r="M410" s="5">
        <f t="shared" si="18"/>
        <v>51.749999999999993</v>
      </c>
      <c r="N410" t="str">
        <f t="shared" si="19"/>
        <v>Arabica</v>
      </c>
      <c r="O410" t="str">
        <f t="shared" si="20"/>
        <v>Medium</v>
      </c>
      <c r="P410" t="str">
        <f>_xlfn.XLOOKUP(Table1[[#This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IF(_xlfn.XLOOKUP(C411,customers!$A$1:$A$1001,customers!C410:C1410,,0)=0,"",_xlfn.XLOOKUP(C411,customers!$A$1:$A$1001,customers!C410:C1410,,0))</f>
        <v/>
      </c>
      <c r="H411" s="2" t="str">
        <f>_xlfn.XLOOKUP(orders!C411,customers!$A$1:$A$1001,customers!$G$1:$G$1001,,0)</f>
        <v>Ireland</v>
      </c>
      <c r="I411" t="str">
        <f>INDEX(products!$A$1:$G$49,MATCH(orders!$D411, products!$A$1:$A$49,0), MATCH(orders!I$1,products!$A$1:$G$1,0))</f>
        <v>Lib</v>
      </c>
      <c r="J411" t="str">
        <f>INDEX(products!$A$1:$G$49,MATCH(orders!$D411, products!$A$1:$A$49,0), MATCH(orders!J$1,products!$A$1:$G$1,0))</f>
        <v>L</v>
      </c>
      <c r="K411" s="4">
        <f>INDEX(products!$A$1:$G$49,MATCH(orders!$D411, products!$A$1:$A$49,0), MATCH(orders!K$1,products!$A$1:$G$1,0))</f>
        <v>1</v>
      </c>
      <c r="L411" s="5">
        <f>INDEX(products!$A$1:$G$49,MATCH(orders!$D411, products!$A$1:$A$49,0), MATCH(orders!L$1,products!$A$1:$G$1,0))</f>
        <v>15.85</v>
      </c>
      <c r="M411" s="5">
        <f t="shared" si="18"/>
        <v>47.55</v>
      </c>
      <c r="N411" t="str">
        <f t="shared" si="19"/>
        <v>Liberica</v>
      </c>
      <c r="O411" t="str">
        <f t="shared" si="20"/>
        <v>Light</v>
      </c>
      <c r="P411" t="str">
        <f>_xlfn.XLOOKUP(Table1[[#This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IF(_xlfn.XLOOKUP(C412,customers!$A$1:$A$1001,customers!C411:C1411,,0)=0,"",_xlfn.XLOOKUP(C412,customers!$A$1:$A$1001,customers!C411:C1411,,0))</f>
        <v>estentonms@google.it</v>
      </c>
      <c r="H412" s="2" t="str">
        <f>_xlfn.XLOOKUP(orders!C412,customers!$A$1:$A$1001,customers!$G$1:$G$1001,,0)</f>
        <v>United States</v>
      </c>
      <c r="I412" t="str">
        <f>INDEX(products!$A$1:$G$49,MATCH(orders!$D412, products!$A$1:$A$49,0), MATCH(orders!I$1,products!$A$1:$G$1,0))</f>
        <v>Ara</v>
      </c>
      <c r="J412" t="str">
        <f>INDEX(products!$A$1:$G$49,MATCH(orders!$D412, products!$A$1:$A$49,0), MATCH(orders!J$1,products!$A$1:$G$1,0))</f>
        <v>L</v>
      </c>
      <c r="K412" s="4">
        <f>INDEX(products!$A$1:$G$49,MATCH(orders!$D412, products!$A$1:$A$49,0), MATCH(orders!K$1,products!$A$1:$G$1,0))</f>
        <v>0.2</v>
      </c>
      <c r="L412" s="5">
        <f>INDEX(products!$A$1:$G$49,MATCH(orders!$D412, products!$A$1:$A$49,0), MATCH(orders!L$1,products!$A$1:$G$1,0))</f>
        <v>3.8849999999999998</v>
      </c>
      <c r="M412" s="5">
        <f t="shared" si="18"/>
        <v>15.54</v>
      </c>
      <c r="N412" t="str">
        <f t="shared" si="19"/>
        <v>Arabica</v>
      </c>
      <c r="O412" t="str">
        <f t="shared" si="20"/>
        <v>Light</v>
      </c>
      <c r="P412" t="str">
        <f>_xlfn.XLOOKUP(Table1[[#This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IF(_xlfn.XLOOKUP(C413,customers!$A$1:$A$1001,customers!C412:C1412,,0)=0,"",_xlfn.XLOOKUP(C413,customers!$A$1:$A$1001,customers!C412:C1412,,0))</f>
        <v>lmacmanusmu@imdb.com</v>
      </c>
      <c r="H413" s="2" t="str">
        <f>_xlfn.XLOOKUP(orders!C413,customers!$A$1:$A$1001,customers!$G$1:$G$1001,,0)</f>
        <v>United States</v>
      </c>
      <c r="I413" t="str">
        <f>INDEX(products!$A$1:$G$49,MATCH(orders!$D413, products!$A$1:$A$49,0), MATCH(orders!I$1,products!$A$1:$G$1,0))</f>
        <v>Lib</v>
      </c>
      <c r="J413" t="str">
        <f>INDEX(products!$A$1:$G$49,MATCH(orders!$D413, products!$A$1:$A$49,0), MATCH(orders!J$1,products!$A$1:$G$1,0))</f>
        <v>M</v>
      </c>
      <c r="K413" s="4">
        <f>INDEX(products!$A$1:$G$49,MATCH(orders!$D413, products!$A$1:$A$49,0), MATCH(orders!K$1,products!$A$1:$G$1,0))</f>
        <v>1</v>
      </c>
      <c r="L413" s="5">
        <f>INDEX(products!$A$1:$G$49,MATCH(orders!$D413, products!$A$1:$A$49,0), MATCH(orders!L$1,products!$A$1:$G$1,0))</f>
        <v>14.55</v>
      </c>
      <c r="M413" s="5">
        <f t="shared" si="18"/>
        <v>87.300000000000011</v>
      </c>
      <c r="N413" t="str">
        <f t="shared" si="19"/>
        <v>Liberica</v>
      </c>
      <c r="O413" t="str">
        <f t="shared" si="20"/>
        <v>Medium</v>
      </c>
      <c r="P413" t="str">
        <f>_xlfn.XLOOKUP(Table1[[#This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IF(_xlfn.XLOOKUP(C414,customers!$A$1:$A$1001,customers!C413:C1413,,0)=0,"",_xlfn.XLOOKUP(C414,customers!$A$1:$A$1001,customers!C413:C1413,,0))</f>
        <v>cbournermw@chronoengine.com</v>
      </c>
      <c r="H414" s="2" t="str">
        <f>_xlfn.XLOOKUP(orders!C414,customers!$A$1:$A$1001,customers!$G$1:$G$1001,,0)</f>
        <v>United States</v>
      </c>
      <c r="I414" t="str">
        <f>INDEX(products!$A$1:$G$49,MATCH(orders!$D414, products!$A$1:$A$49,0), MATCH(orders!I$1,products!$A$1:$G$1,0))</f>
        <v>Ara</v>
      </c>
      <c r="J414" t="str">
        <f>INDEX(products!$A$1:$G$49,MATCH(orders!$D414, products!$A$1:$A$49,0), MATCH(orders!J$1,products!$A$1:$G$1,0))</f>
        <v>M</v>
      </c>
      <c r="K414" s="4">
        <f>INDEX(products!$A$1:$G$49,MATCH(orders!$D414, products!$A$1:$A$49,0), MATCH(orders!K$1,products!$A$1:$G$1,0))</f>
        <v>1</v>
      </c>
      <c r="L414" s="5">
        <f>INDEX(products!$A$1:$G$49,MATCH(orders!$D414, products!$A$1:$A$49,0), MATCH(orders!L$1,products!$A$1:$G$1,0))</f>
        <v>11.25</v>
      </c>
      <c r="M414" s="5">
        <f t="shared" si="18"/>
        <v>56.25</v>
      </c>
      <c r="N414" t="str">
        <f t="shared" si="19"/>
        <v>Arabica</v>
      </c>
      <c r="O414" t="str">
        <f t="shared" si="20"/>
        <v>Medium</v>
      </c>
      <c r="P414" t="str">
        <f>_xlfn.XLOOKUP(Table1[[#This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IF(_xlfn.XLOOKUP(C415,customers!$A$1:$A$1001,customers!C414:C1414,,0)=0,"",_xlfn.XLOOKUP(C415,customers!$A$1:$A$1001,customers!C414:C1414,,0))</f>
        <v>kheddanmy@icq.com</v>
      </c>
      <c r="H415" s="2" t="str">
        <f>_xlfn.XLOOKUP(orders!C415,customers!$A$1:$A$1001,customers!$G$1:$G$1001,,0)</f>
        <v>United States</v>
      </c>
      <c r="I415" t="str">
        <f>INDEX(products!$A$1:$G$49,MATCH(orders!$D415, products!$A$1:$A$49,0), MATCH(orders!I$1,products!$A$1:$G$1,0))</f>
        <v>Lib</v>
      </c>
      <c r="J415" t="str">
        <f>INDEX(products!$A$1:$G$49,MATCH(orders!$D415, products!$A$1:$A$49,0), MATCH(orders!J$1,products!$A$1:$G$1,0))</f>
        <v>L</v>
      </c>
      <c r="K415" s="4">
        <f>INDEX(products!$A$1:$G$49,MATCH(orders!$D415, products!$A$1:$A$49,0), MATCH(orders!K$1,products!$A$1:$G$1,0))</f>
        <v>2.5</v>
      </c>
      <c r="L415" s="5">
        <f>INDEX(products!$A$1:$G$49,MATCH(orders!$D415, products!$A$1:$A$49,0), MATCH(orders!L$1,products!$A$1:$G$1,0))</f>
        <v>36.454999999999998</v>
      </c>
      <c r="M415" s="5">
        <f t="shared" si="18"/>
        <v>36.454999999999998</v>
      </c>
      <c r="N415" t="str">
        <f t="shared" si="19"/>
        <v>Liberica</v>
      </c>
      <c r="O415" t="str">
        <f t="shared" si="20"/>
        <v>Light</v>
      </c>
      <c r="P415" t="str">
        <f>_xlfn.XLOOKUP(Table1[[#This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IF(_xlfn.XLOOKUP(C416,customers!$A$1:$A$1001,customers!C415:C1415,,0)=0,"",_xlfn.XLOOKUP(C416,customers!$A$1:$A$1001,customers!C415:C1415,,0))</f>
        <v>aroubertn0@tmall.com</v>
      </c>
      <c r="H416" s="2" t="str">
        <f>_xlfn.XLOOKUP(orders!C416,customers!$A$1:$A$1001,customers!$G$1:$G$1001,,0)</f>
        <v>United States</v>
      </c>
      <c r="I416" t="str">
        <f>INDEX(products!$A$1:$G$49,MATCH(orders!$D416, products!$A$1:$A$49,0), MATCH(orders!I$1,products!$A$1:$G$1,0))</f>
        <v>Rob</v>
      </c>
      <c r="J416" t="str">
        <f>INDEX(products!$A$1:$G$49,MATCH(orders!$D416, products!$A$1:$A$49,0), MATCH(orders!J$1,products!$A$1:$G$1,0))</f>
        <v>L</v>
      </c>
      <c r="K416" s="4">
        <f>INDEX(products!$A$1:$G$49,MATCH(orders!$D416, products!$A$1:$A$49,0), MATCH(orders!K$1,products!$A$1:$G$1,0))</f>
        <v>0.2</v>
      </c>
      <c r="L416" s="5">
        <f>INDEX(products!$A$1:$G$49,MATCH(orders!$D416, products!$A$1:$A$49,0), MATCH(orders!L$1,products!$A$1:$G$1,0))</f>
        <v>3.5849999999999995</v>
      </c>
      <c r="M416" s="5">
        <f t="shared" si="18"/>
        <v>10.754999999999999</v>
      </c>
      <c r="N416" t="str">
        <f t="shared" si="19"/>
        <v>Robusta</v>
      </c>
      <c r="O416" t="str">
        <f t="shared" si="20"/>
        <v>Light</v>
      </c>
      <c r="P416" t="str">
        <f>_xlfn.XLOOKUP(Table1[[#This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IF(_xlfn.XLOOKUP(C417,customers!$A$1:$A$1001,customers!C416:C1416,,0)=0,"",_xlfn.XLOOKUP(C417,customers!$A$1:$A$1001,customers!C416:C1416,,0))</f>
        <v>hrainforthn2@blog.com</v>
      </c>
      <c r="H417" s="2" t="str">
        <f>_xlfn.XLOOKUP(orders!C417,customers!$A$1:$A$1001,customers!$G$1:$G$1001,,0)</f>
        <v>United States</v>
      </c>
      <c r="I417" t="str">
        <f>INDEX(products!$A$1:$G$49,MATCH(orders!$D417, products!$A$1:$A$49,0), MATCH(orders!I$1,products!$A$1:$G$1,0))</f>
        <v>Rob</v>
      </c>
      <c r="J417" t="str">
        <f>INDEX(products!$A$1:$G$49,MATCH(orders!$D417, products!$A$1:$A$49,0), MATCH(orders!J$1,products!$A$1:$G$1,0))</f>
        <v>M</v>
      </c>
      <c r="K417" s="4">
        <f>INDEX(products!$A$1:$G$49,MATCH(orders!$D417, products!$A$1:$A$49,0), MATCH(orders!K$1,products!$A$1:$G$1,0))</f>
        <v>0.2</v>
      </c>
      <c r="L417" s="5">
        <f>INDEX(products!$A$1:$G$49,MATCH(orders!$D417, products!$A$1:$A$49,0), MATCH(orders!L$1,products!$A$1:$G$1,0))</f>
        <v>2.9849999999999999</v>
      </c>
      <c r="M417" s="5">
        <f t="shared" si="18"/>
        <v>8.9550000000000001</v>
      </c>
      <c r="N417" t="str">
        <f t="shared" si="19"/>
        <v>Robusta</v>
      </c>
      <c r="O417" t="str">
        <f t="shared" si="20"/>
        <v>Medium</v>
      </c>
      <c r="P417" t="str">
        <f>_xlfn.XLOOKUP(Table1[[#This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IF(_xlfn.XLOOKUP(C418,customers!$A$1:$A$1001,customers!C417:C1417,,0)=0,"",_xlfn.XLOOKUP(C418,customers!$A$1:$A$1001,customers!C417:C1417,,0))</f>
        <v>ijespern4@theglobeandmail.com</v>
      </c>
      <c r="H418" s="2" t="str">
        <f>_xlfn.XLOOKUP(orders!C418,customers!$A$1:$A$1001,customers!$G$1:$G$1001,,0)</f>
        <v>United States</v>
      </c>
      <c r="I418" t="str">
        <f>INDEX(products!$A$1:$G$49,MATCH(orders!$D418, products!$A$1:$A$49,0), MATCH(orders!I$1,products!$A$1:$G$1,0))</f>
        <v>Ara</v>
      </c>
      <c r="J418" t="str">
        <f>INDEX(products!$A$1:$G$49,MATCH(orders!$D418, products!$A$1:$A$49,0), MATCH(orders!J$1,products!$A$1:$G$1,0))</f>
        <v>L</v>
      </c>
      <c r="K418" s="4">
        <f>INDEX(products!$A$1:$G$49,MATCH(orders!$D418, products!$A$1:$A$49,0), MATCH(orders!K$1,products!$A$1:$G$1,0))</f>
        <v>0.5</v>
      </c>
      <c r="L418" s="5">
        <f>INDEX(products!$A$1:$G$49,MATCH(orders!$D418, products!$A$1:$A$49,0), MATCH(orders!L$1,products!$A$1:$G$1,0))</f>
        <v>7.77</v>
      </c>
      <c r="M418" s="5">
        <f t="shared" si="18"/>
        <v>23.31</v>
      </c>
      <c r="N418" t="str">
        <f t="shared" si="19"/>
        <v>Arabica</v>
      </c>
      <c r="O418" t="str">
        <f t="shared" si="20"/>
        <v>Light</v>
      </c>
      <c r="P418" t="str">
        <f>_xlfn.XLOOKUP(Table1[[#This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IF(_xlfn.XLOOKUP(C419,customers!$A$1:$A$1001,customers!C418:C1418,,0)=0,"",_xlfn.XLOOKUP(C419,customers!$A$1:$A$1001,customers!C418:C1418,,0))</f>
        <v>nbroomern6@examiner.com</v>
      </c>
      <c r="H419" s="2" t="str">
        <f>_xlfn.XLOOKUP(orders!C419,customers!$A$1:$A$1001,customers!$G$1:$G$1001,,0)</f>
        <v>United States</v>
      </c>
      <c r="I419" t="str">
        <f>INDEX(products!$A$1:$G$49,MATCH(orders!$D419, products!$A$1:$A$49,0), MATCH(orders!I$1,products!$A$1:$G$1,0))</f>
        <v>Ara</v>
      </c>
      <c r="J419" t="str">
        <f>INDEX(products!$A$1:$G$49,MATCH(orders!$D419, products!$A$1:$A$49,0), MATCH(orders!J$1,products!$A$1:$G$1,0))</f>
        <v>L</v>
      </c>
      <c r="K419" s="4">
        <f>INDEX(products!$A$1:$G$49,MATCH(orders!$D419, products!$A$1:$A$49,0), MATCH(orders!K$1,products!$A$1:$G$1,0))</f>
        <v>2.5</v>
      </c>
      <c r="L419" s="5">
        <f>INDEX(products!$A$1:$G$49,MATCH(orders!$D419, products!$A$1:$A$49,0), MATCH(orders!L$1,products!$A$1:$G$1,0))</f>
        <v>29.784999999999997</v>
      </c>
      <c r="M419" s="5">
        <f t="shared" si="18"/>
        <v>29.784999999999997</v>
      </c>
      <c r="N419" t="str">
        <f t="shared" si="19"/>
        <v>Arabica</v>
      </c>
      <c r="O419" t="str">
        <f t="shared" si="20"/>
        <v>Light</v>
      </c>
      <c r="P419" t="str">
        <f>_xlfn.XLOOKUP(Table1[[#This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IF(_xlfn.XLOOKUP(C420,customers!$A$1:$A$1001,customers!C419:C1419,,0)=0,"",_xlfn.XLOOKUP(C420,customers!$A$1:$A$1001,customers!C419:C1419,,0))</f>
        <v>fhabberghamn8@discovery.com</v>
      </c>
      <c r="H420" s="2" t="str">
        <f>_xlfn.XLOOKUP(orders!C420,customers!$A$1:$A$1001,customers!$G$1:$G$1001,,0)</f>
        <v>United States</v>
      </c>
      <c r="I420" t="str">
        <f>INDEX(products!$A$1:$G$49,MATCH(orders!$D420, products!$A$1:$A$49,0), MATCH(orders!I$1,products!$A$1:$G$1,0))</f>
        <v>Ara</v>
      </c>
      <c r="J420" t="str">
        <f>INDEX(products!$A$1:$G$49,MATCH(orders!$D420, products!$A$1:$A$49,0), MATCH(orders!J$1,products!$A$1:$G$1,0))</f>
        <v>L</v>
      </c>
      <c r="K420" s="4">
        <f>INDEX(products!$A$1:$G$49,MATCH(orders!$D420, products!$A$1:$A$49,0), MATCH(orders!K$1,products!$A$1:$G$1,0))</f>
        <v>2.5</v>
      </c>
      <c r="L420" s="5">
        <f>INDEX(products!$A$1:$G$49,MATCH(orders!$D420, products!$A$1:$A$49,0), MATCH(orders!L$1,products!$A$1:$G$1,0))</f>
        <v>29.784999999999997</v>
      </c>
      <c r="M420" s="5">
        <f t="shared" si="18"/>
        <v>148.92499999999998</v>
      </c>
      <c r="N420" t="str">
        <f t="shared" si="19"/>
        <v>Arabica</v>
      </c>
      <c r="O420" t="str">
        <f t="shared" si="20"/>
        <v>Light</v>
      </c>
      <c r="P420" t="str">
        <f>_xlfn.XLOOKUP(Table1[[#This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IF(_xlfn.XLOOKUP(C421,customers!$A$1:$A$1001,customers!C420:C1420,,0)=0,"",_xlfn.XLOOKUP(C421,customers!$A$1:$A$1001,customers!C420:C1420,,0))</f>
        <v>ravrashinna@tamu.edu</v>
      </c>
      <c r="H421" s="2" t="str">
        <f>_xlfn.XLOOKUP(orders!C421,customers!$A$1:$A$1001,customers!$G$1:$G$1001,,0)</f>
        <v>United States</v>
      </c>
      <c r="I421" t="str">
        <f>INDEX(products!$A$1:$G$49,MATCH(orders!$D421, products!$A$1:$A$49,0), MATCH(orders!I$1,products!$A$1:$G$1,0))</f>
        <v>Lib</v>
      </c>
      <c r="J421" t="str">
        <f>INDEX(products!$A$1:$G$49,MATCH(orders!$D421, products!$A$1:$A$49,0), MATCH(orders!J$1,products!$A$1:$G$1,0))</f>
        <v>M</v>
      </c>
      <c r="K421" s="4">
        <f>INDEX(products!$A$1:$G$49,MATCH(orders!$D421, products!$A$1:$A$49,0), MATCH(orders!K$1,products!$A$1:$G$1,0))</f>
        <v>0.5</v>
      </c>
      <c r="L421" s="5">
        <f>INDEX(products!$A$1:$G$49,MATCH(orders!$D421, products!$A$1:$A$49,0), MATCH(orders!L$1,products!$A$1:$G$1,0))</f>
        <v>8.73</v>
      </c>
      <c r="M421" s="5">
        <f t="shared" si="18"/>
        <v>8.73</v>
      </c>
      <c r="N421" t="str">
        <f t="shared" si="19"/>
        <v>Liberica</v>
      </c>
      <c r="O421" t="str">
        <f t="shared" si="20"/>
        <v>Medium</v>
      </c>
      <c r="P421" t="str">
        <f>_xlfn.XLOOKUP(Table1[[#This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IF(_xlfn.XLOOKUP(C422,customers!$A$1:$A$1001,customers!C421:C1421,,0)=0,"",_xlfn.XLOOKUP(C422,customers!$A$1:$A$1001,customers!C421:C1421,,0))</f>
        <v>jgippesm0@cloudflare.com</v>
      </c>
      <c r="H422" s="2" t="str">
        <f>_xlfn.XLOOKUP(orders!C422,customers!$A$1:$A$1001,customers!$G$1:$G$1001,,0)</f>
        <v>United States</v>
      </c>
      <c r="I422" t="str">
        <f>INDEX(products!$A$1:$G$49,MATCH(orders!$D422, products!$A$1:$A$49,0), MATCH(orders!I$1,products!$A$1:$G$1,0))</f>
        <v>Lib</v>
      </c>
      <c r="J422" t="str">
        <f>INDEX(products!$A$1:$G$49,MATCH(orders!$D422, products!$A$1:$A$49,0), MATCH(orders!J$1,products!$A$1:$G$1,0))</f>
        <v>D</v>
      </c>
      <c r="K422" s="4">
        <f>INDEX(products!$A$1:$G$49,MATCH(orders!$D422, products!$A$1:$A$49,0), MATCH(orders!K$1,products!$A$1:$G$1,0))</f>
        <v>0.5</v>
      </c>
      <c r="L422" s="5">
        <f>INDEX(products!$A$1:$G$49,MATCH(orders!$D422, products!$A$1:$A$49,0), MATCH(orders!L$1,products!$A$1:$G$1,0))</f>
        <v>7.77</v>
      </c>
      <c r="M422" s="5">
        <f t="shared" si="18"/>
        <v>31.08</v>
      </c>
      <c r="N422" t="str">
        <f t="shared" si="19"/>
        <v>Liberica</v>
      </c>
      <c r="O422" t="str">
        <f t="shared" si="20"/>
        <v>Dark</v>
      </c>
      <c r="P422" t="str">
        <f>_xlfn.XLOOKUP(Table1[[#This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IF(_xlfn.XLOOKUP(C423,customers!$A$1:$A$1001,customers!C422:C1422,,0)=0,"",_xlfn.XLOOKUP(C423,customers!$A$1:$A$1001,customers!C422:C1422,,0))</f>
        <v>lwhittleseem1@e-recht24.de</v>
      </c>
      <c r="H423" s="2" t="str">
        <f>_xlfn.XLOOKUP(orders!C423,customers!$A$1:$A$1001,customers!$G$1:$G$1001,,0)</f>
        <v>United States</v>
      </c>
      <c r="I423" t="str">
        <f>INDEX(products!$A$1:$G$49,MATCH(orders!$D423, products!$A$1:$A$49,0), MATCH(orders!I$1,products!$A$1:$G$1,0))</f>
        <v>Ara</v>
      </c>
      <c r="J423" t="str">
        <f>INDEX(products!$A$1:$G$49,MATCH(orders!$D423, products!$A$1:$A$49,0), MATCH(orders!J$1,products!$A$1:$G$1,0))</f>
        <v>D</v>
      </c>
      <c r="K423" s="4">
        <f>INDEX(products!$A$1:$G$49,MATCH(orders!$D423, products!$A$1:$A$49,0), MATCH(orders!K$1,products!$A$1:$G$1,0))</f>
        <v>2.5</v>
      </c>
      <c r="L423" s="5">
        <f>INDEX(products!$A$1:$G$49,MATCH(orders!$D423, products!$A$1:$A$49,0), MATCH(orders!L$1,products!$A$1:$G$1,0))</f>
        <v>22.884999999999998</v>
      </c>
      <c r="M423" s="5">
        <f t="shared" si="18"/>
        <v>137.31</v>
      </c>
      <c r="N423" t="str">
        <f t="shared" si="19"/>
        <v>Arabica</v>
      </c>
      <c r="O423" t="str">
        <f t="shared" si="20"/>
        <v>Dark</v>
      </c>
      <c r="P423" t="str">
        <f>_xlfn.XLOOKUP(Table1[[#This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IF(_xlfn.XLOOKUP(C424,customers!$A$1:$A$1001,customers!C423:C1423,,0)=0,"",_xlfn.XLOOKUP(C424,customers!$A$1:$A$1001,customers!C423:C1423,,0))</f>
        <v>agladhillng@stanford.edu</v>
      </c>
      <c r="H424" s="2" t="str">
        <f>_xlfn.XLOOKUP(orders!C424,customers!$A$1:$A$1001,customers!$G$1:$G$1001,,0)</f>
        <v>United States</v>
      </c>
      <c r="I424" t="str">
        <f>INDEX(products!$A$1:$G$49,MATCH(orders!$D424, products!$A$1:$A$49,0), MATCH(orders!I$1,products!$A$1:$G$1,0))</f>
        <v>Ara</v>
      </c>
      <c r="J424" t="str">
        <f>INDEX(products!$A$1:$G$49,MATCH(orders!$D424, products!$A$1:$A$49,0), MATCH(orders!J$1,products!$A$1:$G$1,0))</f>
        <v>D</v>
      </c>
      <c r="K424" s="4">
        <f>INDEX(products!$A$1:$G$49,MATCH(orders!$D424, products!$A$1:$A$49,0), MATCH(orders!K$1,products!$A$1:$G$1,0))</f>
        <v>0.5</v>
      </c>
      <c r="L424" s="5">
        <f>INDEX(products!$A$1:$G$49,MATCH(orders!$D424, products!$A$1:$A$49,0), MATCH(orders!L$1,products!$A$1:$G$1,0))</f>
        <v>5.97</v>
      </c>
      <c r="M424" s="5">
        <f t="shared" si="18"/>
        <v>29.849999999999998</v>
      </c>
      <c r="N424" t="str">
        <f t="shared" si="19"/>
        <v>Arabica</v>
      </c>
      <c r="O424" t="str">
        <f t="shared" si="20"/>
        <v>Dark</v>
      </c>
      <c r="P424" t="str">
        <f>_xlfn.XLOOKUP(Table1[[#This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IF(_xlfn.XLOOKUP(C425,customers!$A$1:$A$1001,customers!C424:C1424,,0)=0,"",_xlfn.XLOOKUP(C425,customers!$A$1:$A$1001,customers!C424:C1424,,0))</f>
        <v/>
      </c>
      <c r="H425" s="2" t="str">
        <f>_xlfn.XLOOKUP(orders!C425,customers!$A$1:$A$1001,customers!$G$1:$G$1001,,0)</f>
        <v>United States</v>
      </c>
      <c r="I425" t="str">
        <f>INDEX(products!$A$1:$G$49,MATCH(orders!$D425, products!$A$1:$A$49,0), MATCH(orders!I$1,products!$A$1:$G$1,0))</f>
        <v>Rob</v>
      </c>
      <c r="J425" t="str">
        <f>INDEX(products!$A$1:$G$49,MATCH(orders!$D425, products!$A$1:$A$49,0), MATCH(orders!J$1,products!$A$1:$G$1,0))</f>
        <v>M</v>
      </c>
      <c r="K425" s="4">
        <f>INDEX(products!$A$1:$G$49,MATCH(orders!$D425, products!$A$1:$A$49,0), MATCH(orders!K$1,products!$A$1:$G$1,0))</f>
        <v>0.5</v>
      </c>
      <c r="L425" s="5">
        <f>INDEX(products!$A$1:$G$49,MATCH(orders!$D425, products!$A$1:$A$49,0), MATCH(orders!L$1,products!$A$1:$G$1,0))</f>
        <v>5.97</v>
      </c>
      <c r="M425" s="5">
        <f t="shared" si="18"/>
        <v>17.91</v>
      </c>
      <c r="N425" t="str">
        <f t="shared" si="19"/>
        <v>Robusta</v>
      </c>
      <c r="O425" t="str">
        <f t="shared" si="20"/>
        <v>Medium</v>
      </c>
      <c r="P425" t="str">
        <f>_xlfn.XLOOKUP(Table1[[#This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IF(_xlfn.XLOOKUP(C426,customers!$A$1:$A$1001,customers!C425:C1425,,0)=0,"",_xlfn.XLOOKUP(C426,customers!$A$1:$A$1001,customers!C425:C1425,,0))</f>
        <v/>
      </c>
      <c r="H426" s="2" t="str">
        <f>_xlfn.XLOOKUP(orders!C426,customers!$A$1:$A$1001,customers!$G$1:$G$1001,,0)</f>
        <v>United States</v>
      </c>
      <c r="I426" t="str">
        <f>INDEX(products!$A$1:$G$49,MATCH(orders!$D426, products!$A$1:$A$49,0), MATCH(orders!I$1,products!$A$1:$G$1,0))</f>
        <v>Exc</v>
      </c>
      <c r="J426" t="str">
        <f>INDEX(products!$A$1:$G$49,MATCH(orders!$D426, products!$A$1:$A$49,0), MATCH(orders!J$1,products!$A$1:$G$1,0))</f>
        <v>L</v>
      </c>
      <c r="K426" s="4">
        <f>INDEX(products!$A$1:$G$49,MATCH(orders!$D426, products!$A$1:$A$49,0), MATCH(orders!K$1,products!$A$1:$G$1,0))</f>
        <v>0.5</v>
      </c>
      <c r="L426" s="5">
        <f>INDEX(products!$A$1:$G$49,MATCH(orders!$D426, products!$A$1:$A$49,0), MATCH(orders!L$1,products!$A$1:$G$1,0))</f>
        <v>8.91</v>
      </c>
      <c r="M426" s="5">
        <f t="shared" si="18"/>
        <v>26.73</v>
      </c>
      <c r="N426" t="str">
        <f t="shared" si="19"/>
        <v>Excelsa</v>
      </c>
      <c r="O426" t="str">
        <f t="shared" si="20"/>
        <v>Light</v>
      </c>
      <c r="P426" t="str">
        <f>_xlfn.XLOOKUP(Table1[[#This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IF(_xlfn.XLOOKUP(C427,customers!$A$1:$A$1001,customers!C426:C1426,,0)=0,"",_xlfn.XLOOKUP(C427,customers!$A$1:$A$1001,customers!C426:C1426,,0))</f>
        <v>bjevonnm@feedburner.com</v>
      </c>
      <c r="H427" s="2" t="str">
        <f>_xlfn.XLOOKUP(orders!C427,customers!$A$1:$A$1001,customers!$G$1:$G$1001,,0)</f>
        <v>United States</v>
      </c>
      <c r="I427" t="str">
        <f>INDEX(products!$A$1:$G$49,MATCH(orders!$D427, products!$A$1:$A$49,0), MATCH(orders!I$1,products!$A$1:$G$1,0))</f>
        <v>Rob</v>
      </c>
      <c r="J427" t="str">
        <f>INDEX(products!$A$1:$G$49,MATCH(orders!$D427, products!$A$1:$A$49,0), MATCH(orders!J$1,products!$A$1:$G$1,0))</f>
        <v>D</v>
      </c>
      <c r="K427" s="4">
        <f>INDEX(products!$A$1:$G$49,MATCH(orders!$D427, products!$A$1:$A$49,0), MATCH(orders!K$1,products!$A$1:$G$1,0))</f>
        <v>1</v>
      </c>
      <c r="L427" s="5">
        <f>INDEX(products!$A$1:$G$49,MATCH(orders!$D427, products!$A$1:$A$49,0), MATCH(orders!L$1,products!$A$1:$G$1,0))</f>
        <v>8.9499999999999993</v>
      </c>
      <c r="M427" s="5">
        <f t="shared" si="18"/>
        <v>17.899999999999999</v>
      </c>
      <c r="N427" t="str">
        <f t="shared" si="19"/>
        <v>Robusta</v>
      </c>
      <c r="O427" t="str">
        <f t="shared" si="20"/>
        <v>Dark</v>
      </c>
      <c r="P427" t="str">
        <f>_xlfn.XLOOKUP(Table1[[#This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IF(_xlfn.XLOOKUP(C428,customers!$A$1:$A$1001,customers!C427:C1427,,0)=0,"",_xlfn.XLOOKUP(C428,customers!$A$1:$A$1001,customers!C427:C1427,,0))</f>
        <v>bgaishno@altervista.org</v>
      </c>
      <c r="H428" s="2" t="str">
        <f>_xlfn.XLOOKUP(orders!C428,customers!$A$1:$A$1001,customers!$G$1:$G$1001,,0)</f>
        <v>Ireland</v>
      </c>
      <c r="I428" t="str">
        <f>INDEX(products!$A$1:$G$49,MATCH(orders!$D428, products!$A$1:$A$49,0), MATCH(orders!I$1,products!$A$1:$G$1,0))</f>
        <v>Rob</v>
      </c>
      <c r="J428" t="str">
        <f>INDEX(products!$A$1:$G$49,MATCH(orders!$D428, products!$A$1:$A$49,0), MATCH(orders!J$1,products!$A$1:$G$1,0))</f>
        <v>L</v>
      </c>
      <c r="K428" s="4">
        <f>INDEX(products!$A$1:$G$49,MATCH(orders!$D428, products!$A$1:$A$49,0), MATCH(orders!K$1,products!$A$1:$G$1,0))</f>
        <v>0.2</v>
      </c>
      <c r="L428" s="5">
        <f>INDEX(products!$A$1:$G$49,MATCH(orders!$D428, products!$A$1:$A$49,0), MATCH(orders!L$1,products!$A$1:$G$1,0))</f>
        <v>3.5849999999999995</v>
      </c>
      <c r="M428" s="5">
        <f t="shared" si="18"/>
        <v>14.339999999999998</v>
      </c>
      <c r="N428" t="str">
        <f t="shared" si="19"/>
        <v>Robusta</v>
      </c>
      <c r="O428" t="str">
        <f t="shared" si="20"/>
        <v>Light</v>
      </c>
      <c r="P428" t="str">
        <f>_xlfn.XLOOKUP(Table1[[#This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IF(_xlfn.XLOOKUP(C429,customers!$A$1:$A$1001,customers!C428:C1428,,0)=0,"",_xlfn.XLOOKUP(C429,customers!$A$1:$A$1001,customers!C428:C1428,,0))</f>
        <v>smorrallnq@answers.com</v>
      </c>
      <c r="H429" s="2" t="str">
        <f>_xlfn.XLOOKUP(orders!C429,customers!$A$1:$A$1001,customers!$G$1:$G$1001,,0)</f>
        <v>United States</v>
      </c>
      <c r="I429" t="str">
        <f>INDEX(products!$A$1:$G$49,MATCH(orders!$D429, products!$A$1:$A$49,0), MATCH(orders!I$1,products!$A$1:$G$1,0))</f>
        <v>Ara</v>
      </c>
      <c r="J429" t="str">
        <f>INDEX(products!$A$1:$G$49,MATCH(orders!$D429, products!$A$1:$A$49,0), MATCH(orders!J$1,products!$A$1:$G$1,0))</f>
        <v>M</v>
      </c>
      <c r="K429" s="4">
        <f>INDEX(products!$A$1:$G$49,MATCH(orders!$D429, products!$A$1:$A$49,0), MATCH(orders!K$1,products!$A$1:$G$1,0))</f>
        <v>2.5</v>
      </c>
      <c r="L429" s="5">
        <f>INDEX(products!$A$1:$G$49,MATCH(orders!$D429, products!$A$1:$A$49,0), MATCH(orders!L$1,products!$A$1:$G$1,0))</f>
        <v>25.874999999999996</v>
      </c>
      <c r="M429" s="5">
        <f t="shared" si="18"/>
        <v>77.624999999999986</v>
      </c>
      <c r="N429" t="str">
        <f t="shared" si="19"/>
        <v>Arabica</v>
      </c>
      <c r="O429" t="str">
        <f t="shared" si="20"/>
        <v>Medium</v>
      </c>
      <c r="P429" t="str">
        <f>_xlfn.XLOOKUP(Table1[[#This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IF(_xlfn.XLOOKUP(C430,customers!$A$1:$A$1001,customers!C429:C1429,,0)=0,"",_xlfn.XLOOKUP(C430,customers!$A$1:$A$1001,customers!C429:C1429,,0))</f>
        <v>kwesselns@wikispaces.com</v>
      </c>
      <c r="H430" s="2" t="str">
        <f>_xlfn.XLOOKUP(orders!C430,customers!$A$1:$A$1001,customers!$G$1:$G$1001,,0)</f>
        <v>United States</v>
      </c>
      <c r="I430" t="str">
        <f>INDEX(products!$A$1:$G$49,MATCH(orders!$D430, products!$A$1:$A$49,0), MATCH(orders!I$1,products!$A$1:$G$1,0))</f>
        <v>Rob</v>
      </c>
      <c r="J430" t="str">
        <f>INDEX(products!$A$1:$G$49,MATCH(orders!$D430, products!$A$1:$A$49,0), MATCH(orders!J$1,products!$A$1:$G$1,0))</f>
        <v>L</v>
      </c>
      <c r="K430" s="4">
        <f>INDEX(products!$A$1:$G$49,MATCH(orders!$D430, products!$A$1:$A$49,0), MATCH(orders!K$1,products!$A$1:$G$1,0))</f>
        <v>1</v>
      </c>
      <c r="L430" s="5">
        <f>INDEX(products!$A$1:$G$49,MATCH(orders!$D430, products!$A$1:$A$49,0), MATCH(orders!L$1,products!$A$1:$G$1,0))</f>
        <v>11.95</v>
      </c>
      <c r="M430" s="5">
        <f t="shared" si="18"/>
        <v>59.75</v>
      </c>
      <c r="N430" t="str">
        <f t="shared" si="19"/>
        <v>Robusta</v>
      </c>
      <c r="O430" t="str">
        <f t="shared" si="20"/>
        <v>Light</v>
      </c>
      <c r="P430" t="str">
        <f>_xlfn.XLOOKUP(Table1[[#This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IF(_xlfn.XLOOKUP(C431,customers!$A$1:$A$1001,customers!C430:C1430,,0)=0,"",_xlfn.XLOOKUP(C431,customers!$A$1:$A$1001,customers!C430:C1430,,0))</f>
        <v>btartem9@aol.com</v>
      </c>
      <c r="H431" s="2" t="str">
        <f>_xlfn.XLOOKUP(orders!C431,customers!$A$1:$A$1001,customers!$G$1:$G$1001,,0)</f>
        <v>United States</v>
      </c>
      <c r="I431" t="str">
        <f>INDEX(products!$A$1:$G$49,MATCH(orders!$D431, products!$A$1:$A$49,0), MATCH(orders!I$1,products!$A$1:$G$1,0))</f>
        <v>Ara</v>
      </c>
      <c r="J431" t="str">
        <f>INDEX(products!$A$1:$G$49,MATCH(orders!$D431, products!$A$1:$A$49,0), MATCH(orders!J$1,products!$A$1:$G$1,0))</f>
        <v>L</v>
      </c>
      <c r="K431" s="4">
        <f>INDEX(products!$A$1:$G$49,MATCH(orders!$D431, products!$A$1:$A$49,0), MATCH(orders!K$1,products!$A$1:$G$1,0))</f>
        <v>1</v>
      </c>
      <c r="L431" s="5">
        <f>INDEX(products!$A$1:$G$49,MATCH(orders!$D431, products!$A$1:$A$49,0), MATCH(orders!L$1,products!$A$1:$G$1,0))</f>
        <v>12.95</v>
      </c>
      <c r="M431" s="5">
        <f t="shared" si="18"/>
        <v>77.699999999999989</v>
      </c>
      <c r="N431" t="str">
        <f t="shared" si="19"/>
        <v>Arabica</v>
      </c>
      <c r="O431" t="str">
        <f t="shared" si="20"/>
        <v>Light</v>
      </c>
      <c r="P431" t="str">
        <f>_xlfn.XLOOKUP(Table1[[#This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IF(_xlfn.XLOOKUP(C432,customers!$A$1:$A$1001,customers!C431:C1431,,0)=0,"",_xlfn.XLOOKUP(C432,customers!$A$1:$A$1001,customers!C431:C1431,,0))</f>
        <v/>
      </c>
      <c r="H432" s="2" t="str">
        <f>_xlfn.XLOOKUP(orders!C432,customers!$A$1:$A$1001,customers!$G$1:$G$1001,,0)</f>
        <v>United States</v>
      </c>
      <c r="I432" t="str">
        <f>INDEX(products!$A$1:$G$49,MATCH(orders!$D432, products!$A$1:$A$49,0), MATCH(orders!I$1,products!$A$1:$G$1,0))</f>
        <v>Rob</v>
      </c>
      <c r="J432" t="str">
        <f>INDEX(products!$A$1:$G$49,MATCH(orders!$D432, products!$A$1:$A$49,0), MATCH(orders!J$1,products!$A$1:$G$1,0))</f>
        <v>D</v>
      </c>
      <c r="K432" s="4">
        <f>INDEX(products!$A$1:$G$49,MATCH(orders!$D432, products!$A$1:$A$49,0), MATCH(orders!K$1,products!$A$1:$G$1,0))</f>
        <v>0.2</v>
      </c>
      <c r="L432" s="5">
        <f>INDEX(products!$A$1:$G$49,MATCH(orders!$D432, products!$A$1:$A$49,0), MATCH(orders!L$1,products!$A$1:$G$1,0))</f>
        <v>2.6849999999999996</v>
      </c>
      <c r="M432" s="5">
        <f t="shared" si="18"/>
        <v>5.3699999999999992</v>
      </c>
      <c r="N432" t="str">
        <f t="shared" si="19"/>
        <v>Robusta</v>
      </c>
      <c r="O432" t="str">
        <f t="shared" si="20"/>
        <v>Dark</v>
      </c>
      <c r="P432" t="str">
        <f>_xlfn.XLOOKUP(Table1[[#This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IF(_xlfn.XLOOKUP(C433,customers!$A$1:$A$1001,customers!C432:C1432,,0)=0,"",_xlfn.XLOOKUP(C433,customers!$A$1:$A$1001,customers!C432:C1432,,0))</f>
        <v>goatsny@live.com</v>
      </c>
      <c r="H433" s="2" t="str">
        <f>_xlfn.XLOOKUP(orders!C433,customers!$A$1:$A$1001,customers!$G$1:$G$1001,,0)</f>
        <v>Ireland</v>
      </c>
      <c r="I433" t="str">
        <f>INDEX(products!$A$1:$G$49,MATCH(orders!$D433, products!$A$1:$A$49,0), MATCH(orders!I$1,products!$A$1:$G$1,0))</f>
        <v>Exc</v>
      </c>
      <c r="J433" t="str">
        <f>INDEX(products!$A$1:$G$49,MATCH(orders!$D433, products!$A$1:$A$49,0), MATCH(orders!J$1,products!$A$1:$G$1,0))</f>
        <v>D</v>
      </c>
      <c r="K433" s="4">
        <f>INDEX(products!$A$1:$G$49,MATCH(orders!$D433, products!$A$1:$A$49,0), MATCH(orders!K$1,products!$A$1:$G$1,0))</f>
        <v>2.5</v>
      </c>
      <c r="L433" s="5">
        <f>INDEX(products!$A$1:$G$49,MATCH(orders!$D433, products!$A$1:$A$49,0), MATCH(orders!L$1,products!$A$1:$G$1,0))</f>
        <v>27.945</v>
      </c>
      <c r="M433" s="5">
        <f t="shared" si="18"/>
        <v>83.835000000000008</v>
      </c>
      <c r="N433" t="str">
        <f t="shared" si="19"/>
        <v>Excelsa</v>
      </c>
      <c r="O433" t="str">
        <f t="shared" si="20"/>
        <v>Dark</v>
      </c>
      <c r="P433" t="str">
        <f>_xlfn.XLOOKUP(Table1[[#This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IF(_xlfn.XLOOKUP(C434,customers!$A$1:$A$1001,customers!C433:C1433,,0)=0,"",_xlfn.XLOOKUP(C434,customers!$A$1:$A$1001,customers!C433:C1433,,0))</f>
        <v>rpysono0@constantcontact.com</v>
      </c>
      <c r="H434" s="2" t="str">
        <f>_xlfn.XLOOKUP(orders!C434,customers!$A$1:$A$1001,customers!$G$1:$G$1001,,0)</f>
        <v>United States</v>
      </c>
      <c r="I434" t="str">
        <f>INDEX(products!$A$1:$G$49,MATCH(orders!$D434, products!$A$1:$A$49,0), MATCH(orders!I$1,products!$A$1:$G$1,0))</f>
        <v>Ara</v>
      </c>
      <c r="J434" t="str">
        <f>INDEX(products!$A$1:$G$49,MATCH(orders!$D434, products!$A$1:$A$49,0), MATCH(orders!J$1,products!$A$1:$G$1,0))</f>
        <v>M</v>
      </c>
      <c r="K434" s="4">
        <f>INDEX(products!$A$1:$G$49,MATCH(orders!$D434, products!$A$1:$A$49,0), MATCH(orders!K$1,products!$A$1:$G$1,0))</f>
        <v>1</v>
      </c>
      <c r="L434" s="5">
        <f>INDEX(products!$A$1:$G$49,MATCH(orders!$D434, products!$A$1:$A$49,0), MATCH(orders!L$1,products!$A$1:$G$1,0))</f>
        <v>11.25</v>
      </c>
      <c r="M434" s="5">
        <f t="shared" si="18"/>
        <v>22.5</v>
      </c>
      <c r="N434" t="str">
        <f t="shared" si="19"/>
        <v>Arabica</v>
      </c>
      <c r="O434" t="str">
        <f t="shared" si="20"/>
        <v>Medium</v>
      </c>
      <c r="P434" t="str">
        <f>_xlfn.XLOOKUP(Table1[[#This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IF(_xlfn.XLOOKUP(C435,customers!$A$1:$A$1001,customers!C434:C1434,,0)=0,"",_xlfn.XLOOKUP(C435,customers!$A$1:$A$1001,customers!C434:C1434,,0))</f>
        <v>rtreachero2@usa.gov</v>
      </c>
      <c r="H435" s="2" t="str">
        <f>_xlfn.XLOOKUP(orders!C435,customers!$A$1:$A$1001,customers!$G$1:$G$1001,,0)</f>
        <v>United States</v>
      </c>
      <c r="I435" t="str">
        <f>INDEX(products!$A$1:$G$49,MATCH(orders!$D435, products!$A$1:$A$49,0), MATCH(orders!I$1,products!$A$1:$G$1,0))</f>
        <v>Lib</v>
      </c>
      <c r="J435" t="str">
        <f>INDEX(products!$A$1:$G$49,MATCH(orders!$D435, products!$A$1:$A$49,0), MATCH(orders!J$1,products!$A$1:$G$1,0))</f>
        <v>M</v>
      </c>
      <c r="K435" s="4">
        <f>INDEX(products!$A$1:$G$49,MATCH(orders!$D435, products!$A$1:$A$49,0), MATCH(orders!K$1,products!$A$1:$G$1,0))</f>
        <v>2.5</v>
      </c>
      <c r="L435" s="5">
        <f>INDEX(products!$A$1:$G$49,MATCH(orders!$D435, products!$A$1:$A$49,0), MATCH(orders!L$1,products!$A$1:$G$1,0))</f>
        <v>33.464999999999996</v>
      </c>
      <c r="M435" s="5">
        <f t="shared" si="18"/>
        <v>200.78999999999996</v>
      </c>
      <c r="N435" t="str">
        <f t="shared" si="19"/>
        <v>Liberica</v>
      </c>
      <c r="O435" t="str">
        <f t="shared" si="20"/>
        <v>Medium</v>
      </c>
      <c r="P435" t="str">
        <f>_xlfn.XLOOKUP(Table1[[#This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IF(_xlfn.XLOOKUP(C436,customers!$A$1:$A$1001,customers!C435:C1435,,0)=0,"",_xlfn.XLOOKUP(C436,customers!$A$1:$A$1001,customers!C435:C1435,,0))</f>
        <v>mpalleskeo4@nyu.edu</v>
      </c>
      <c r="H436" s="2" t="str">
        <f>_xlfn.XLOOKUP(orders!C436,customers!$A$1:$A$1001,customers!$G$1:$G$1001,,0)</f>
        <v>United States</v>
      </c>
      <c r="I436" t="str">
        <f>INDEX(products!$A$1:$G$49,MATCH(orders!$D436, products!$A$1:$A$49,0), MATCH(orders!I$1,products!$A$1:$G$1,0))</f>
        <v>Ara</v>
      </c>
      <c r="J436" t="str">
        <f>INDEX(products!$A$1:$G$49,MATCH(orders!$D436, products!$A$1:$A$49,0), MATCH(orders!J$1,products!$A$1:$G$1,0))</f>
        <v>M</v>
      </c>
      <c r="K436" s="4">
        <f>INDEX(products!$A$1:$G$49,MATCH(orders!$D436, products!$A$1:$A$49,0), MATCH(orders!K$1,products!$A$1:$G$1,0))</f>
        <v>1</v>
      </c>
      <c r="L436" s="5">
        <f>INDEX(products!$A$1:$G$49,MATCH(orders!$D436, products!$A$1:$A$49,0), MATCH(orders!L$1,products!$A$1:$G$1,0))</f>
        <v>11.25</v>
      </c>
      <c r="M436" s="5">
        <f t="shared" si="18"/>
        <v>67.5</v>
      </c>
      <c r="N436" t="str">
        <f t="shared" si="19"/>
        <v>Arabica</v>
      </c>
      <c r="O436" t="str">
        <f t="shared" si="20"/>
        <v>Medium</v>
      </c>
      <c r="P436" t="str">
        <f>_xlfn.XLOOKUP(Table1[[#This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IF(_xlfn.XLOOKUP(C437,customers!$A$1:$A$1001,customers!C436:C1436,,0)=0,"",_xlfn.XLOOKUP(C437,customers!$A$1:$A$1001,customers!C436:C1436,,0))</f>
        <v>fantcliffeo6@amazon.co.jp</v>
      </c>
      <c r="H437" s="2" t="str">
        <f>_xlfn.XLOOKUP(orders!C437,customers!$A$1:$A$1001,customers!$G$1:$G$1001,,0)</f>
        <v>United States</v>
      </c>
      <c r="I437" t="str">
        <f>INDEX(products!$A$1:$G$49,MATCH(orders!$D437, products!$A$1:$A$49,0), MATCH(orders!I$1,products!$A$1:$G$1,0))</f>
        <v>Exc</v>
      </c>
      <c r="J437" t="str">
        <f>INDEX(products!$A$1:$G$49,MATCH(orders!$D437, products!$A$1:$A$49,0), MATCH(orders!J$1,products!$A$1:$G$1,0))</f>
        <v>M</v>
      </c>
      <c r="K437" s="4">
        <f>INDEX(products!$A$1:$G$49,MATCH(orders!$D437, products!$A$1:$A$49,0), MATCH(orders!K$1,products!$A$1:$G$1,0))</f>
        <v>0.5</v>
      </c>
      <c r="L437" s="5">
        <f>INDEX(products!$A$1:$G$49,MATCH(orders!$D437, products!$A$1:$A$49,0), MATCH(orders!L$1,products!$A$1:$G$1,0))</f>
        <v>8.25</v>
      </c>
      <c r="M437" s="5">
        <f t="shared" si="18"/>
        <v>8.25</v>
      </c>
      <c r="N437" t="str">
        <f t="shared" si="19"/>
        <v>Excelsa</v>
      </c>
      <c r="O437" t="str">
        <f t="shared" si="20"/>
        <v>Medium</v>
      </c>
      <c r="P437" t="str">
        <f>_xlfn.XLOOKUP(Table1[[#This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IF(_xlfn.XLOOKUP(C438,customers!$A$1:$A$1001,customers!C437:C1437,,0)=0,"",_xlfn.XLOOKUP(C438,customers!$A$1:$A$1001,customers!C437:C1437,,0))</f>
        <v>cweondo8@theglobeandmail.com</v>
      </c>
      <c r="H438" s="2" t="str">
        <f>_xlfn.XLOOKUP(orders!C438,customers!$A$1:$A$1001,customers!$G$1:$G$1001,,0)</f>
        <v>United States</v>
      </c>
      <c r="I438" t="str">
        <f>INDEX(products!$A$1:$G$49,MATCH(orders!$D438, products!$A$1:$A$49,0), MATCH(orders!I$1,products!$A$1:$G$1,0))</f>
        <v>Lib</v>
      </c>
      <c r="J438" t="str">
        <f>INDEX(products!$A$1:$G$49,MATCH(orders!$D438, products!$A$1:$A$49,0), MATCH(orders!J$1,products!$A$1:$G$1,0))</f>
        <v>L</v>
      </c>
      <c r="K438" s="4">
        <f>INDEX(products!$A$1:$G$49,MATCH(orders!$D438, products!$A$1:$A$49,0), MATCH(orders!K$1,products!$A$1:$G$1,0))</f>
        <v>0.2</v>
      </c>
      <c r="L438" s="5">
        <f>INDEX(products!$A$1:$G$49,MATCH(orders!$D438, products!$A$1:$A$49,0), MATCH(orders!L$1,products!$A$1:$G$1,0))</f>
        <v>4.7549999999999999</v>
      </c>
      <c r="M438" s="5">
        <f t="shared" si="18"/>
        <v>9.51</v>
      </c>
      <c r="N438" t="str">
        <f t="shared" si="19"/>
        <v>Liberica</v>
      </c>
      <c r="O438" t="str">
        <f t="shared" si="20"/>
        <v>Light</v>
      </c>
      <c r="P438" t="str">
        <f>_xlfn.XLOOKUP(Table1[[#This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IF(_xlfn.XLOOKUP(C439,customers!$A$1:$A$1001,customers!C438:C1438,,0)=0,"",_xlfn.XLOOKUP(C439,customers!$A$1:$A$1001,customers!C438:C1438,,0))</f>
        <v>jskentelberyoa@paypal.com</v>
      </c>
      <c r="H439" s="2" t="str">
        <f>_xlfn.XLOOKUP(orders!C439,customers!$A$1:$A$1001,customers!$G$1:$G$1001,,0)</f>
        <v>United States</v>
      </c>
      <c r="I439" t="str">
        <f>INDEX(products!$A$1:$G$49,MATCH(orders!$D439, products!$A$1:$A$49,0), MATCH(orders!I$1,products!$A$1:$G$1,0))</f>
        <v>Lib</v>
      </c>
      <c r="J439" t="str">
        <f>INDEX(products!$A$1:$G$49,MATCH(orders!$D439, products!$A$1:$A$49,0), MATCH(orders!J$1,products!$A$1:$G$1,0))</f>
        <v>D</v>
      </c>
      <c r="K439" s="4">
        <f>INDEX(products!$A$1:$G$49,MATCH(orders!$D439, products!$A$1:$A$49,0), MATCH(orders!K$1,products!$A$1:$G$1,0))</f>
        <v>2.5</v>
      </c>
      <c r="L439" s="5">
        <f>INDEX(products!$A$1:$G$49,MATCH(orders!$D439, products!$A$1:$A$49,0), MATCH(orders!L$1,products!$A$1:$G$1,0))</f>
        <v>29.784999999999997</v>
      </c>
      <c r="M439" s="5">
        <f t="shared" si="18"/>
        <v>29.784999999999997</v>
      </c>
      <c r="N439" t="str">
        <f t="shared" si="19"/>
        <v>Liberica</v>
      </c>
      <c r="O439" t="str">
        <f t="shared" si="20"/>
        <v>Dark</v>
      </c>
      <c r="P439" t="str">
        <f>_xlfn.XLOOKUP(Table1[[#This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IF(_xlfn.XLOOKUP(C440,customers!$A$1:$A$1001,customers!C439:C1439,,0)=0,"",_xlfn.XLOOKUP(C440,customers!$A$1:$A$1001,customers!C439:C1439,,0))</f>
        <v>kmarrisonoq@dropbox.com</v>
      </c>
      <c r="H440" s="2" t="str">
        <f>_xlfn.XLOOKUP(orders!C440,customers!$A$1:$A$1001,customers!$G$1:$G$1001,,0)</f>
        <v>United States</v>
      </c>
      <c r="I440" t="str">
        <f>INDEX(products!$A$1:$G$49,MATCH(orders!$D440, products!$A$1:$A$49,0), MATCH(orders!I$1,products!$A$1:$G$1,0))</f>
        <v>Lib</v>
      </c>
      <c r="J440" t="str">
        <f>INDEX(products!$A$1:$G$49,MATCH(orders!$D440, products!$A$1:$A$49,0), MATCH(orders!J$1,products!$A$1:$G$1,0))</f>
        <v>D</v>
      </c>
      <c r="K440" s="4">
        <f>INDEX(products!$A$1:$G$49,MATCH(orders!$D440, products!$A$1:$A$49,0), MATCH(orders!K$1,products!$A$1:$G$1,0))</f>
        <v>0.5</v>
      </c>
      <c r="L440" s="5">
        <f>INDEX(products!$A$1:$G$49,MATCH(orders!$D440, products!$A$1:$A$49,0), MATCH(orders!L$1,products!$A$1:$G$1,0))</f>
        <v>7.77</v>
      </c>
      <c r="M440" s="5">
        <f t="shared" si="18"/>
        <v>15.54</v>
      </c>
      <c r="N440" t="str">
        <f t="shared" si="19"/>
        <v>Liberica</v>
      </c>
      <c r="O440" t="str">
        <f t="shared" si="20"/>
        <v>Dark</v>
      </c>
      <c r="P440" t="str">
        <f>_xlfn.XLOOKUP(Table1[[#This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IF(_xlfn.XLOOKUP(C441,customers!$A$1:$A$1001,customers!C440:C1440,,0)=0,"",_xlfn.XLOOKUP(C441,customers!$A$1:$A$1001,customers!C440:C1440,,0))</f>
        <v/>
      </c>
      <c r="H441" s="2" t="str">
        <f>_xlfn.XLOOKUP(orders!C441,customers!$A$1:$A$1001,customers!$G$1:$G$1001,,0)</f>
        <v>Ireland</v>
      </c>
      <c r="I441" t="str">
        <f>INDEX(products!$A$1:$G$49,MATCH(orders!$D441, products!$A$1:$A$49,0), MATCH(orders!I$1,products!$A$1:$G$1,0))</f>
        <v>Exc</v>
      </c>
      <c r="J441" t="str">
        <f>INDEX(products!$A$1:$G$49,MATCH(orders!$D441, products!$A$1:$A$49,0), MATCH(orders!J$1,products!$A$1:$G$1,0))</f>
        <v>L</v>
      </c>
      <c r="K441" s="4">
        <f>INDEX(products!$A$1:$G$49,MATCH(orders!$D441, products!$A$1:$A$49,0), MATCH(orders!K$1,products!$A$1:$G$1,0))</f>
        <v>0.5</v>
      </c>
      <c r="L441" s="5">
        <f>INDEX(products!$A$1:$G$49,MATCH(orders!$D441, products!$A$1:$A$49,0), MATCH(orders!L$1,products!$A$1:$G$1,0))</f>
        <v>8.91</v>
      </c>
      <c r="M441" s="5">
        <f t="shared" si="18"/>
        <v>35.64</v>
      </c>
      <c r="N441" t="str">
        <f t="shared" si="19"/>
        <v>Excelsa</v>
      </c>
      <c r="O441" t="str">
        <f t="shared" si="20"/>
        <v>Light</v>
      </c>
      <c r="P441" t="str">
        <f>_xlfn.XLOOKUP(Table1[[#This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IF(_xlfn.XLOOKUP(C442,customers!$A$1:$A$1001,customers!C441:C1441,,0)=0,"",_xlfn.XLOOKUP(C442,customers!$A$1:$A$1001,customers!C441:C1441,,0))</f>
        <v>chatfullog@ebay.com</v>
      </c>
      <c r="H442" s="2" t="str">
        <f>_xlfn.XLOOKUP(orders!C442,customers!$A$1:$A$1001,customers!$G$1:$G$1001,,0)</f>
        <v>United States</v>
      </c>
      <c r="I442" t="str">
        <f>INDEX(products!$A$1:$G$49,MATCH(orders!$D442, products!$A$1:$A$49,0), MATCH(orders!I$1,products!$A$1:$G$1,0))</f>
        <v>Ara</v>
      </c>
      <c r="J442" t="str">
        <f>INDEX(products!$A$1:$G$49,MATCH(orders!$D442, products!$A$1:$A$49,0), MATCH(orders!J$1,products!$A$1:$G$1,0))</f>
        <v>M</v>
      </c>
      <c r="K442" s="4">
        <f>INDEX(products!$A$1:$G$49,MATCH(orders!$D442, products!$A$1:$A$49,0), MATCH(orders!K$1,products!$A$1:$G$1,0))</f>
        <v>2.5</v>
      </c>
      <c r="L442" s="5">
        <f>INDEX(products!$A$1:$G$49,MATCH(orders!$D442, products!$A$1:$A$49,0), MATCH(orders!L$1,products!$A$1:$G$1,0))</f>
        <v>25.874999999999996</v>
      </c>
      <c r="M442" s="5">
        <f t="shared" si="18"/>
        <v>103.49999999999999</v>
      </c>
      <c r="N442" t="str">
        <f t="shared" si="19"/>
        <v>Arabica</v>
      </c>
      <c r="O442" t="str">
        <f t="shared" si="20"/>
        <v>Medium</v>
      </c>
      <c r="P442" t="str">
        <f>_xlfn.XLOOKUP(Table1[[#This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IF(_xlfn.XLOOKUP(C443,customers!$A$1:$A$1001,customers!C442:C1442,,0)=0,"",_xlfn.XLOOKUP(C443,customers!$A$1:$A$1001,customers!C442:C1442,,0))</f>
        <v>cswatmanoi@cbslocal.com</v>
      </c>
      <c r="H443" s="2" t="str">
        <f>_xlfn.XLOOKUP(orders!C443,customers!$A$1:$A$1001,customers!$G$1:$G$1001,,0)</f>
        <v>Ireland</v>
      </c>
      <c r="I443" t="str">
        <f>INDEX(products!$A$1:$G$49,MATCH(orders!$D443, products!$A$1:$A$49,0), MATCH(orders!I$1,products!$A$1:$G$1,0))</f>
        <v>Exc</v>
      </c>
      <c r="J443" t="str">
        <f>INDEX(products!$A$1:$G$49,MATCH(orders!$D443, products!$A$1:$A$49,0), MATCH(orders!J$1,products!$A$1:$G$1,0))</f>
        <v>D</v>
      </c>
      <c r="K443" s="4">
        <f>INDEX(products!$A$1:$G$49,MATCH(orders!$D443, products!$A$1:$A$49,0), MATCH(orders!K$1,products!$A$1:$G$1,0))</f>
        <v>1</v>
      </c>
      <c r="L443" s="5">
        <f>INDEX(products!$A$1:$G$49,MATCH(orders!$D443, products!$A$1:$A$49,0), MATCH(orders!L$1,products!$A$1:$G$1,0))</f>
        <v>12.15</v>
      </c>
      <c r="M443" s="5">
        <f t="shared" si="18"/>
        <v>36.450000000000003</v>
      </c>
      <c r="N443" t="str">
        <f t="shared" si="19"/>
        <v>Excelsa</v>
      </c>
      <c r="O443" t="str">
        <f t="shared" si="20"/>
        <v>Dark</v>
      </c>
      <c r="P443" t="str">
        <f>_xlfn.XLOOKUP(Table1[[#This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IF(_xlfn.XLOOKUP(C444,customers!$A$1:$A$1001,customers!C443:C1443,,0)=0,"",_xlfn.XLOOKUP(C444,customers!$A$1:$A$1001,customers!C443:C1443,,0))</f>
        <v>dkiddyok@fda.gov</v>
      </c>
      <c r="H444" s="2" t="str">
        <f>_xlfn.XLOOKUP(orders!C444,customers!$A$1:$A$1001,customers!$G$1:$G$1001,,0)</f>
        <v>United States</v>
      </c>
      <c r="I444" t="str">
        <f>INDEX(products!$A$1:$G$49,MATCH(orders!$D444, products!$A$1:$A$49,0), MATCH(orders!I$1,products!$A$1:$G$1,0))</f>
        <v>Rob</v>
      </c>
      <c r="J444" t="str">
        <f>INDEX(products!$A$1:$G$49,MATCH(orders!$D444, products!$A$1:$A$49,0), MATCH(orders!J$1,products!$A$1:$G$1,0))</f>
        <v>L</v>
      </c>
      <c r="K444" s="4">
        <f>INDEX(products!$A$1:$G$49,MATCH(orders!$D444, products!$A$1:$A$49,0), MATCH(orders!K$1,products!$A$1:$G$1,0))</f>
        <v>0.5</v>
      </c>
      <c r="L444" s="5">
        <f>INDEX(products!$A$1:$G$49,MATCH(orders!$D444, products!$A$1:$A$49,0), MATCH(orders!L$1,products!$A$1:$G$1,0))</f>
        <v>7.169999999999999</v>
      </c>
      <c r="M444" s="5">
        <f t="shared" si="18"/>
        <v>35.849999999999994</v>
      </c>
      <c r="N444" t="str">
        <f t="shared" si="19"/>
        <v>Robusta</v>
      </c>
      <c r="O444" t="str">
        <f t="shared" si="20"/>
        <v>Light</v>
      </c>
      <c r="P444" t="str">
        <f>_xlfn.XLOOKUP(Table1[[#This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IF(_xlfn.XLOOKUP(C445,customers!$A$1:$A$1001,customers!C444:C1444,,0)=0,"",_xlfn.XLOOKUP(C445,customers!$A$1:$A$1001,customers!C444:C1444,,0))</f>
        <v>mschollom@taobao.com</v>
      </c>
      <c r="H445" s="2" t="str">
        <f>_xlfn.XLOOKUP(orders!C445,customers!$A$1:$A$1001,customers!$G$1:$G$1001,,0)</f>
        <v>Ireland</v>
      </c>
      <c r="I445" t="str">
        <f>INDEX(products!$A$1:$G$49,MATCH(orders!$D445, products!$A$1:$A$49,0), MATCH(orders!I$1,products!$A$1:$G$1,0))</f>
        <v>Exc</v>
      </c>
      <c r="J445" t="str">
        <f>INDEX(products!$A$1:$G$49,MATCH(orders!$D445, products!$A$1:$A$49,0), MATCH(orders!J$1,products!$A$1:$G$1,0))</f>
        <v>L</v>
      </c>
      <c r="K445" s="4">
        <f>INDEX(products!$A$1:$G$49,MATCH(orders!$D445, products!$A$1:$A$49,0), MATCH(orders!K$1,products!$A$1:$G$1,0))</f>
        <v>0.2</v>
      </c>
      <c r="L445" s="5">
        <f>INDEX(products!$A$1:$G$49,MATCH(orders!$D445, products!$A$1:$A$49,0), MATCH(orders!L$1,products!$A$1:$G$1,0))</f>
        <v>4.4550000000000001</v>
      </c>
      <c r="M445" s="5">
        <f t="shared" si="18"/>
        <v>22.274999999999999</v>
      </c>
      <c r="N445" t="str">
        <f t="shared" si="19"/>
        <v>Excelsa</v>
      </c>
      <c r="O445" t="str">
        <f t="shared" si="20"/>
        <v>Light</v>
      </c>
      <c r="P445" t="str">
        <f>_xlfn.XLOOKUP(Table1[[#This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IF(_xlfn.XLOOKUP(C446,customers!$A$1:$A$1001,customers!C445:C1445,,0)=0,"",_xlfn.XLOOKUP(C446,customers!$A$1:$A$1001,customers!C445:C1445,,0))</f>
        <v>bkellowayoo@omniture.com</v>
      </c>
      <c r="H446" s="2" t="str">
        <f>_xlfn.XLOOKUP(orders!C446,customers!$A$1:$A$1001,customers!$G$1:$G$1001,,0)</f>
        <v>Ireland</v>
      </c>
      <c r="I446" t="str">
        <f>INDEX(products!$A$1:$G$49,MATCH(orders!$D446, products!$A$1:$A$49,0), MATCH(orders!I$1,products!$A$1:$G$1,0))</f>
        <v>Exc</v>
      </c>
      <c r="J446" t="str">
        <f>INDEX(products!$A$1:$G$49,MATCH(orders!$D446, products!$A$1:$A$49,0), MATCH(orders!J$1,products!$A$1:$G$1,0))</f>
        <v>M</v>
      </c>
      <c r="K446" s="4">
        <f>INDEX(products!$A$1:$G$49,MATCH(orders!$D446, products!$A$1:$A$49,0), MATCH(orders!K$1,products!$A$1:$G$1,0))</f>
        <v>0.2</v>
      </c>
      <c r="L446" s="5">
        <f>INDEX(products!$A$1:$G$49,MATCH(orders!$D446, products!$A$1:$A$49,0), MATCH(orders!L$1,products!$A$1:$G$1,0))</f>
        <v>4.125</v>
      </c>
      <c r="M446" s="5">
        <f t="shared" si="18"/>
        <v>24.75</v>
      </c>
      <c r="N446" t="str">
        <f t="shared" si="19"/>
        <v>Excelsa</v>
      </c>
      <c r="O446" t="str">
        <f t="shared" si="20"/>
        <v>Medium</v>
      </c>
      <c r="P446" t="str">
        <f>_xlfn.XLOOKUP(Table1[[#This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IF(_xlfn.XLOOKUP(C447,customers!$A$1:$A$1001,customers!C446:C1446,,0)=0,"",_xlfn.XLOOKUP(C447,customers!$A$1:$A$1001,customers!C446:C1446,,0))</f>
        <v>kmarrisonoq@dropbox.com</v>
      </c>
      <c r="H447" s="2" t="str">
        <f>_xlfn.XLOOKUP(orders!C447,customers!$A$1:$A$1001,customers!$G$1:$G$1001,,0)</f>
        <v>Ireland</v>
      </c>
      <c r="I447" t="str">
        <f>INDEX(products!$A$1:$G$49,MATCH(orders!$D447, products!$A$1:$A$49,0), MATCH(orders!I$1,products!$A$1:$G$1,0))</f>
        <v>Lib</v>
      </c>
      <c r="J447" t="str">
        <f>INDEX(products!$A$1:$G$49,MATCH(orders!$D447, products!$A$1:$A$49,0), MATCH(orders!J$1,products!$A$1:$G$1,0))</f>
        <v>M</v>
      </c>
      <c r="K447" s="4">
        <f>INDEX(products!$A$1:$G$49,MATCH(orders!$D447, products!$A$1:$A$49,0), MATCH(orders!K$1,products!$A$1:$G$1,0))</f>
        <v>2.5</v>
      </c>
      <c r="L447" s="5">
        <f>INDEX(products!$A$1:$G$49,MATCH(orders!$D447, products!$A$1:$A$49,0), MATCH(orders!L$1,products!$A$1:$G$1,0))</f>
        <v>33.464999999999996</v>
      </c>
      <c r="M447" s="5">
        <f t="shared" si="18"/>
        <v>66.929999999999993</v>
      </c>
      <c r="N447" t="str">
        <f t="shared" si="19"/>
        <v>Liberica</v>
      </c>
      <c r="O447" t="str">
        <f t="shared" si="20"/>
        <v>Medium</v>
      </c>
      <c r="P447" t="str">
        <f>_xlfn.XLOOKUP(Table1[[#This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IF(_xlfn.XLOOKUP(C448,customers!$A$1:$A$1001,customers!C447:C1447,,0)=0,"",_xlfn.XLOOKUP(C448,customers!$A$1:$A$1001,customers!C447:C1447,,0))</f>
        <v>pvasilenkoos@addtoany.com</v>
      </c>
      <c r="H448" s="2" t="str">
        <f>_xlfn.XLOOKUP(orders!C448,customers!$A$1:$A$1001,customers!$G$1:$G$1001,,0)</f>
        <v>United Kingdom</v>
      </c>
      <c r="I448" t="str">
        <f>INDEX(products!$A$1:$G$49,MATCH(orders!$D448, products!$A$1:$A$49,0), MATCH(orders!I$1,products!$A$1:$G$1,0))</f>
        <v>Lib</v>
      </c>
      <c r="J448" t="str">
        <f>INDEX(products!$A$1:$G$49,MATCH(orders!$D448, products!$A$1:$A$49,0), MATCH(orders!J$1,products!$A$1:$G$1,0))</f>
        <v>M</v>
      </c>
      <c r="K448" s="4">
        <f>INDEX(products!$A$1:$G$49,MATCH(orders!$D448, products!$A$1:$A$49,0), MATCH(orders!K$1,products!$A$1:$G$1,0))</f>
        <v>0.5</v>
      </c>
      <c r="L448" s="5">
        <f>INDEX(products!$A$1:$G$49,MATCH(orders!$D448, products!$A$1:$A$49,0), MATCH(orders!L$1,products!$A$1:$G$1,0))</f>
        <v>8.73</v>
      </c>
      <c r="M448" s="5">
        <f t="shared" si="18"/>
        <v>8.73</v>
      </c>
      <c r="N448" t="str">
        <f t="shared" si="19"/>
        <v>Liberica</v>
      </c>
      <c r="O448" t="str">
        <f t="shared" si="20"/>
        <v>Medium</v>
      </c>
      <c r="P448" t="str">
        <f>_xlfn.XLOOKUP(Table1[[#This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IF(_xlfn.XLOOKUP(C449,customers!$A$1:$A$1001,customers!C448:C1448,,0)=0,"",_xlfn.XLOOKUP(C449,customers!$A$1:$A$1001,customers!C448:C1448,,0))</f>
        <v/>
      </c>
      <c r="H449" s="2" t="str">
        <f>_xlfn.XLOOKUP(orders!C449,customers!$A$1:$A$1001,customers!$G$1:$G$1001,,0)</f>
        <v>United States</v>
      </c>
      <c r="I449" t="str">
        <f>INDEX(products!$A$1:$G$49,MATCH(orders!$D449, products!$A$1:$A$49,0), MATCH(orders!I$1,products!$A$1:$G$1,0))</f>
        <v>Rob</v>
      </c>
      <c r="J449" t="str">
        <f>INDEX(products!$A$1:$G$49,MATCH(orders!$D449, products!$A$1:$A$49,0), MATCH(orders!J$1,products!$A$1:$G$1,0))</f>
        <v>M</v>
      </c>
      <c r="K449" s="4">
        <f>INDEX(products!$A$1:$G$49,MATCH(orders!$D449, products!$A$1:$A$49,0), MATCH(orders!K$1,products!$A$1:$G$1,0))</f>
        <v>0.5</v>
      </c>
      <c r="L449" s="5">
        <f>INDEX(products!$A$1:$G$49,MATCH(orders!$D449, products!$A$1:$A$49,0), MATCH(orders!L$1,products!$A$1:$G$1,0))</f>
        <v>5.97</v>
      </c>
      <c r="M449" s="5">
        <f t="shared" si="18"/>
        <v>17.91</v>
      </c>
      <c r="N449" t="str">
        <f t="shared" si="19"/>
        <v>Robusta</v>
      </c>
      <c r="O449" t="str">
        <f t="shared" si="20"/>
        <v>Medium</v>
      </c>
      <c r="P449" t="str">
        <f>_xlfn.XLOOKUP(Table1[[#This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IF(_xlfn.XLOOKUP(C450,customers!$A$1:$A$1001,customers!C449:C1449,,0)=0,"",_xlfn.XLOOKUP(C450,customers!$A$1:$A$1001,customers!C449:C1449,,0))</f>
        <v>bcargenow@geocities.jp</v>
      </c>
      <c r="H450" s="2" t="str">
        <f>_xlfn.XLOOKUP(orders!C450,customers!$A$1:$A$1001,customers!$G$1:$G$1001,,0)</f>
        <v>Ireland</v>
      </c>
      <c r="I450" t="str">
        <f>INDEX(products!$A$1:$G$49,MATCH(orders!$D450, products!$A$1:$A$49,0), MATCH(orders!I$1,products!$A$1:$G$1,0))</f>
        <v>Rob</v>
      </c>
      <c r="J450" t="str">
        <f>INDEX(products!$A$1:$G$49,MATCH(orders!$D450, products!$A$1:$A$49,0), MATCH(orders!J$1,products!$A$1:$G$1,0))</f>
        <v>L</v>
      </c>
      <c r="K450" s="4">
        <f>INDEX(products!$A$1:$G$49,MATCH(orders!$D450, products!$A$1:$A$49,0), MATCH(orders!K$1,products!$A$1:$G$1,0))</f>
        <v>0.5</v>
      </c>
      <c r="L450" s="5">
        <f>INDEX(products!$A$1:$G$49,MATCH(orders!$D450, products!$A$1:$A$49,0), MATCH(orders!L$1,products!$A$1:$G$1,0))</f>
        <v>7.169999999999999</v>
      </c>
      <c r="M450" s="5">
        <f t="shared" si="18"/>
        <v>7.169999999999999</v>
      </c>
      <c r="N450" t="str">
        <f t="shared" si="19"/>
        <v>Robusta</v>
      </c>
      <c r="O450" t="str">
        <f t="shared" si="20"/>
        <v>Light</v>
      </c>
      <c r="P450" t="str">
        <f>_xlfn.XLOOKUP(Table1[[#This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IF(_xlfn.XLOOKUP(C451,customers!$A$1:$A$1001,customers!C450:C1450,,0)=0,"",_xlfn.XLOOKUP(C451,customers!$A$1:$A$1001,customers!C450:C1450,,0))</f>
        <v/>
      </c>
      <c r="H451" s="2" t="str">
        <f>_xlfn.XLOOKUP(orders!C451,customers!$A$1:$A$1001,customers!$G$1:$G$1001,,0)</f>
        <v>United States</v>
      </c>
      <c r="I451" t="str">
        <f>INDEX(products!$A$1:$G$49,MATCH(orders!$D451, products!$A$1:$A$49,0), MATCH(orders!I$1,products!$A$1:$G$1,0))</f>
        <v>Rob</v>
      </c>
      <c r="J451" t="str">
        <f>INDEX(products!$A$1:$G$49,MATCH(orders!$D451, products!$A$1:$A$49,0), MATCH(orders!J$1,products!$A$1:$G$1,0))</f>
        <v>D</v>
      </c>
      <c r="K451" s="4">
        <f>INDEX(products!$A$1:$G$49,MATCH(orders!$D451, products!$A$1:$A$49,0), MATCH(orders!K$1,products!$A$1:$G$1,0))</f>
        <v>0.2</v>
      </c>
      <c r="L451" s="5">
        <f>INDEX(products!$A$1:$G$49,MATCH(orders!$D451, products!$A$1:$A$49,0), MATCH(orders!L$1,products!$A$1:$G$1,0))</f>
        <v>2.6849999999999996</v>
      </c>
      <c r="M451" s="5">
        <f t="shared" ref="M451:M514" si="21">L451*E451</f>
        <v>5.3699999999999992</v>
      </c>
      <c r="N451" t="str">
        <f t="shared" ref="N451:N514" si="22">IF(I451="Rob","Robusta",IF(I451="Exc", "Excelsa", IF(I451="Ara","Arabica", IF(I451="lib","Liberica",""))))</f>
        <v>Robusta</v>
      </c>
      <c r="O451" t="str">
        <f t="shared" ref="O451:O514" si="23">IF(J451="M","Medium",IF(J451="L","Light",IF(J451="D","Dark", "")))</f>
        <v>Dark</v>
      </c>
      <c r="P451" t="str">
        <f>_xlfn.XLOOKUP(Table1[[#This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IF(_xlfn.XLOOKUP(C452,customers!$A$1:$A$1001,customers!C451:C1451,,0)=0,"",_xlfn.XLOOKUP(C452,customers!$A$1:$A$1001,customers!C451:C1451,,0))</f>
        <v/>
      </c>
      <c r="H452" s="2" t="str">
        <f>_xlfn.XLOOKUP(orders!C452,customers!$A$1:$A$1001,customers!$G$1:$G$1001,,0)</f>
        <v>Ireland</v>
      </c>
      <c r="I452" t="str">
        <f>INDEX(products!$A$1:$G$49,MATCH(orders!$D452, products!$A$1:$A$49,0), MATCH(orders!I$1,products!$A$1:$G$1,0))</f>
        <v>Lib</v>
      </c>
      <c r="J452" t="str">
        <f>INDEX(products!$A$1:$G$49,MATCH(orders!$D452, products!$A$1:$A$49,0), MATCH(orders!J$1,products!$A$1:$G$1,0))</f>
        <v>L</v>
      </c>
      <c r="K452" s="4">
        <f>INDEX(products!$A$1:$G$49,MATCH(orders!$D452, products!$A$1:$A$49,0), MATCH(orders!K$1,products!$A$1:$G$1,0))</f>
        <v>0.2</v>
      </c>
      <c r="L452" s="5">
        <f>INDEX(products!$A$1:$G$49,MATCH(orders!$D452, products!$A$1:$A$49,0), MATCH(orders!L$1,products!$A$1:$G$1,0))</f>
        <v>4.7549999999999999</v>
      </c>
      <c r="M452" s="5">
        <f t="shared" si="21"/>
        <v>23.774999999999999</v>
      </c>
      <c r="N452" t="str">
        <f t="shared" si="22"/>
        <v>Liberica</v>
      </c>
      <c r="O452" t="str">
        <f t="shared" si="23"/>
        <v>Light</v>
      </c>
      <c r="P452" t="str">
        <f>_xlfn.XLOOKUP(Table1[[#This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IF(_xlfn.XLOOKUP(C453,customers!$A$1:$A$1001,customers!C452:C1452,,0)=0,"",_xlfn.XLOOKUP(C453,customers!$A$1:$A$1001,customers!C452:C1452,,0))</f>
        <v>hrannerp2@omniture.com</v>
      </c>
      <c r="H453" s="2" t="str">
        <f>_xlfn.XLOOKUP(orders!C453,customers!$A$1:$A$1001,customers!$G$1:$G$1001,,0)</f>
        <v>United States</v>
      </c>
      <c r="I453" t="str">
        <f>INDEX(products!$A$1:$G$49,MATCH(orders!$D453, products!$A$1:$A$49,0), MATCH(orders!I$1,products!$A$1:$G$1,0))</f>
        <v>Rob</v>
      </c>
      <c r="J453" t="str">
        <f>INDEX(products!$A$1:$G$49,MATCH(orders!$D453, products!$A$1:$A$49,0), MATCH(orders!J$1,products!$A$1:$G$1,0))</f>
        <v>D</v>
      </c>
      <c r="K453" s="4">
        <f>INDEX(products!$A$1:$G$49,MATCH(orders!$D453, products!$A$1:$A$49,0), MATCH(orders!K$1,products!$A$1:$G$1,0))</f>
        <v>2.5</v>
      </c>
      <c r="L453" s="5">
        <f>INDEX(products!$A$1:$G$49,MATCH(orders!$D453, products!$A$1:$A$49,0), MATCH(orders!L$1,products!$A$1:$G$1,0))</f>
        <v>20.584999999999997</v>
      </c>
      <c r="M453" s="5">
        <f t="shared" si="21"/>
        <v>41.169999999999995</v>
      </c>
      <c r="N453" t="str">
        <f t="shared" si="22"/>
        <v>Robusta</v>
      </c>
      <c r="O453" t="str">
        <f t="shared" si="23"/>
        <v>Dark</v>
      </c>
      <c r="P453" t="str">
        <f>_xlfn.XLOOKUP(Table1[[#This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IF(_xlfn.XLOOKUP(C454,customers!$A$1:$A$1001,customers!C453:C1453,,0)=0,"",_xlfn.XLOOKUP(C454,customers!$A$1:$A$1001,customers!C453:C1453,,0))</f>
        <v>dsopperp4@eventbrite.com</v>
      </c>
      <c r="H454" s="2" t="str">
        <f>_xlfn.XLOOKUP(orders!C454,customers!$A$1:$A$1001,customers!$G$1:$G$1001,,0)</f>
        <v>United States</v>
      </c>
      <c r="I454" t="str">
        <f>INDEX(products!$A$1:$G$49,MATCH(orders!$D454, products!$A$1:$A$49,0), MATCH(orders!I$1,products!$A$1:$G$1,0))</f>
        <v>Ara</v>
      </c>
      <c r="J454" t="str">
        <f>INDEX(products!$A$1:$G$49,MATCH(orders!$D454, products!$A$1:$A$49,0), MATCH(orders!J$1,products!$A$1:$G$1,0))</f>
        <v>L</v>
      </c>
      <c r="K454" s="4">
        <f>INDEX(products!$A$1:$G$49,MATCH(orders!$D454, products!$A$1:$A$49,0), MATCH(orders!K$1,products!$A$1:$G$1,0))</f>
        <v>0.2</v>
      </c>
      <c r="L454" s="5">
        <f>INDEX(products!$A$1:$G$49,MATCH(orders!$D454, products!$A$1:$A$49,0), MATCH(orders!L$1,products!$A$1:$G$1,0))</f>
        <v>3.8849999999999998</v>
      </c>
      <c r="M454" s="5">
        <f t="shared" si="21"/>
        <v>11.654999999999999</v>
      </c>
      <c r="N454" t="str">
        <f t="shared" si="22"/>
        <v>Arabica</v>
      </c>
      <c r="O454" t="str">
        <f t="shared" si="23"/>
        <v>Light</v>
      </c>
      <c r="P454" t="str">
        <f>_xlfn.XLOOKUP(Table1[[#This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IF(_xlfn.XLOOKUP(C455,customers!$A$1:$A$1001,customers!C454:C1454,,0)=0,"",_xlfn.XLOOKUP(C455,customers!$A$1:$A$1001,customers!C454:C1454,,0))</f>
        <v>lledgleyp6@de.vu</v>
      </c>
      <c r="H455" s="2" t="str">
        <f>_xlfn.XLOOKUP(orders!C455,customers!$A$1:$A$1001,customers!$G$1:$G$1001,,0)</f>
        <v>United States</v>
      </c>
      <c r="I455" t="str">
        <f>INDEX(products!$A$1:$G$49,MATCH(orders!$D455, products!$A$1:$A$49,0), MATCH(orders!I$1,products!$A$1:$G$1,0))</f>
        <v>Lib</v>
      </c>
      <c r="J455" t="str">
        <f>INDEX(products!$A$1:$G$49,MATCH(orders!$D455, products!$A$1:$A$49,0), MATCH(orders!J$1,products!$A$1:$G$1,0))</f>
        <v>L</v>
      </c>
      <c r="K455" s="4">
        <f>INDEX(products!$A$1:$G$49,MATCH(orders!$D455, products!$A$1:$A$49,0), MATCH(orders!K$1,products!$A$1:$G$1,0))</f>
        <v>0.5</v>
      </c>
      <c r="L455" s="5">
        <f>INDEX(products!$A$1:$G$49,MATCH(orders!$D455, products!$A$1:$A$49,0), MATCH(orders!L$1,products!$A$1:$G$1,0))</f>
        <v>9.51</v>
      </c>
      <c r="M455" s="5">
        <f t="shared" si="21"/>
        <v>38.04</v>
      </c>
      <c r="N455" t="str">
        <f t="shared" si="22"/>
        <v>Liberica</v>
      </c>
      <c r="O455" t="str">
        <f t="shared" si="23"/>
        <v>Light</v>
      </c>
      <c r="P455" t="str">
        <f>_xlfn.XLOOKUP(Table1[[#This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IF(_xlfn.XLOOKUP(C456,customers!$A$1:$A$1001,customers!C455:C1455,,0)=0,"",_xlfn.XLOOKUP(C456,customers!$A$1:$A$1001,customers!C455:C1455,,0))</f>
        <v>gciccottip8@so-net.ne.jp</v>
      </c>
      <c r="H456" s="2" t="str">
        <f>_xlfn.XLOOKUP(orders!C456,customers!$A$1:$A$1001,customers!$G$1:$G$1001,,0)</f>
        <v>Ireland</v>
      </c>
      <c r="I456" t="str">
        <f>INDEX(products!$A$1:$G$49,MATCH(orders!$D456, products!$A$1:$A$49,0), MATCH(orders!I$1,products!$A$1:$G$1,0))</f>
        <v>Rob</v>
      </c>
      <c r="J456" t="str">
        <f>INDEX(products!$A$1:$G$49,MATCH(orders!$D456, products!$A$1:$A$49,0), MATCH(orders!J$1,products!$A$1:$G$1,0))</f>
        <v>D</v>
      </c>
      <c r="K456" s="4">
        <f>INDEX(products!$A$1:$G$49,MATCH(orders!$D456, products!$A$1:$A$49,0), MATCH(orders!K$1,products!$A$1:$G$1,0))</f>
        <v>2.5</v>
      </c>
      <c r="L456" s="5">
        <f>INDEX(products!$A$1:$G$49,MATCH(orders!$D456, products!$A$1:$A$49,0), MATCH(orders!L$1,products!$A$1:$G$1,0))</f>
        <v>20.584999999999997</v>
      </c>
      <c r="M456" s="5">
        <f t="shared" si="21"/>
        <v>82.339999999999989</v>
      </c>
      <c r="N456" t="str">
        <f t="shared" si="22"/>
        <v>Robusta</v>
      </c>
      <c r="O456" t="str">
        <f t="shared" si="23"/>
        <v>Dark</v>
      </c>
      <c r="P456" t="str">
        <f>_xlfn.XLOOKUP(Table1[[#This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IF(_xlfn.XLOOKUP(C457,customers!$A$1:$A$1001,customers!C456:C1456,,0)=0,"",_xlfn.XLOOKUP(C457,customers!$A$1:$A$1001,customers!C456:C1456,,0))</f>
        <v>wjallinpa@pcworld.com</v>
      </c>
      <c r="H457" s="2" t="str">
        <f>_xlfn.XLOOKUP(orders!C457,customers!$A$1:$A$1001,customers!$G$1:$G$1001,,0)</f>
        <v>Ireland</v>
      </c>
      <c r="I457" t="str">
        <f>INDEX(products!$A$1:$G$49,MATCH(orders!$D457, products!$A$1:$A$49,0), MATCH(orders!I$1,products!$A$1:$G$1,0))</f>
        <v>Lib</v>
      </c>
      <c r="J457" t="str">
        <f>INDEX(products!$A$1:$G$49,MATCH(orders!$D457, products!$A$1:$A$49,0), MATCH(orders!J$1,products!$A$1:$G$1,0))</f>
        <v>L</v>
      </c>
      <c r="K457" s="4">
        <f>INDEX(products!$A$1:$G$49,MATCH(orders!$D457, products!$A$1:$A$49,0), MATCH(orders!K$1,products!$A$1:$G$1,0))</f>
        <v>0.2</v>
      </c>
      <c r="L457" s="5">
        <f>INDEX(products!$A$1:$G$49,MATCH(orders!$D457, products!$A$1:$A$49,0), MATCH(orders!L$1,products!$A$1:$G$1,0))</f>
        <v>4.7549999999999999</v>
      </c>
      <c r="M457" s="5">
        <f t="shared" si="21"/>
        <v>9.51</v>
      </c>
      <c r="N457" t="str">
        <f t="shared" si="22"/>
        <v>Liberica</v>
      </c>
      <c r="O457" t="str">
        <f t="shared" si="23"/>
        <v>Light</v>
      </c>
      <c r="P457" t="str">
        <f>_xlfn.XLOOKUP(Table1[[#This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IF(_xlfn.XLOOKUP(C458,customers!$A$1:$A$1001,customers!C457:C1457,,0)=0,"",_xlfn.XLOOKUP(C458,customers!$A$1:$A$1001,customers!C457:C1457,,0))</f>
        <v/>
      </c>
      <c r="H458" s="2" t="str">
        <f>_xlfn.XLOOKUP(orders!C458,customers!$A$1:$A$1001,customers!$G$1:$G$1001,,0)</f>
        <v>United Kingdom</v>
      </c>
      <c r="I458" t="str">
        <f>INDEX(products!$A$1:$G$49,MATCH(orders!$D458, products!$A$1:$A$49,0), MATCH(orders!I$1,products!$A$1:$G$1,0))</f>
        <v>Rob</v>
      </c>
      <c r="J458" t="str">
        <f>INDEX(products!$A$1:$G$49,MATCH(orders!$D458, products!$A$1:$A$49,0), MATCH(orders!J$1,products!$A$1:$G$1,0))</f>
        <v>D</v>
      </c>
      <c r="K458" s="4">
        <f>INDEX(products!$A$1:$G$49,MATCH(orders!$D458, products!$A$1:$A$49,0), MATCH(orders!K$1,products!$A$1:$G$1,0))</f>
        <v>2.5</v>
      </c>
      <c r="L458" s="5">
        <f>INDEX(products!$A$1:$G$49,MATCH(orders!$D458, products!$A$1:$A$49,0), MATCH(orders!L$1,products!$A$1:$G$1,0))</f>
        <v>20.584999999999997</v>
      </c>
      <c r="M458" s="5">
        <f t="shared" si="21"/>
        <v>41.169999999999995</v>
      </c>
      <c r="N458" t="str">
        <f t="shared" si="22"/>
        <v>Robusta</v>
      </c>
      <c r="O458" t="str">
        <f t="shared" si="23"/>
        <v>Dark</v>
      </c>
      <c r="P458" t="str">
        <f>_xlfn.XLOOKUP(Table1[[#This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IF(_xlfn.XLOOKUP(C459,customers!$A$1:$A$1001,customers!C458:C1458,,0)=0,"",_xlfn.XLOOKUP(C459,customers!$A$1:$A$1001,customers!C458:C1458,,0))</f>
        <v>alewrype@whitehouse.gov</v>
      </c>
      <c r="H459" s="2" t="str">
        <f>_xlfn.XLOOKUP(orders!C459,customers!$A$1:$A$1001,customers!$G$1:$G$1001,,0)</f>
        <v>United States</v>
      </c>
      <c r="I459" t="str">
        <f>INDEX(products!$A$1:$G$49,MATCH(orders!$D459, products!$A$1:$A$49,0), MATCH(orders!I$1,products!$A$1:$G$1,0))</f>
        <v>Lib</v>
      </c>
      <c r="J459" t="str">
        <f>INDEX(products!$A$1:$G$49,MATCH(orders!$D459, products!$A$1:$A$49,0), MATCH(orders!J$1,products!$A$1:$G$1,0))</f>
        <v>L</v>
      </c>
      <c r="K459" s="4">
        <f>INDEX(products!$A$1:$G$49,MATCH(orders!$D459, products!$A$1:$A$49,0), MATCH(orders!K$1,products!$A$1:$G$1,0))</f>
        <v>0.5</v>
      </c>
      <c r="L459" s="5">
        <f>INDEX(products!$A$1:$G$49,MATCH(orders!$D459, products!$A$1:$A$49,0), MATCH(orders!L$1,products!$A$1:$G$1,0))</f>
        <v>9.51</v>
      </c>
      <c r="M459" s="5">
        <f t="shared" si="21"/>
        <v>47.55</v>
      </c>
      <c r="N459" t="str">
        <f t="shared" si="22"/>
        <v>Liberica</v>
      </c>
      <c r="O459" t="str">
        <f t="shared" si="23"/>
        <v>Light</v>
      </c>
      <c r="P459" t="str">
        <f>_xlfn.XLOOKUP(Table1[[#This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IF(_xlfn.XLOOKUP(C460,customers!$A$1:$A$1001,customers!C459:C1459,,0)=0,"",_xlfn.XLOOKUP(C460,customers!$A$1:$A$1001,customers!C459:C1459,,0))</f>
        <v/>
      </c>
      <c r="H460" s="2" t="str">
        <f>_xlfn.XLOOKUP(orders!C460,customers!$A$1:$A$1001,customers!$G$1:$G$1001,,0)</f>
        <v>United States</v>
      </c>
      <c r="I460" t="str">
        <f>INDEX(products!$A$1:$G$49,MATCH(orders!$D460, products!$A$1:$A$49,0), MATCH(orders!I$1,products!$A$1:$G$1,0))</f>
        <v>Ara</v>
      </c>
      <c r="J460" t="str">
        <f>INDEX(products!$A$1:$G$49,MATCH(orders!$D460, products!$A$1:$A$49,0), MATCH(orders!J$1,products!$A$1:$G$1,0))</f>
        <v>M</v>
      </c>
      <c r="K460" s="4">
        <f>INDEX(products!$A$1:$G$49,MATCH(orders!$D460, products!$A$1:$A$49,0), MATCH(orders!K$1,products!$A$1:$G$1,0))</f>
        <v>1</v>
      </c>
      <c r="L460" s="5">
        <f>INDEX(products!$A$1:$G$49,MATCH(orders!$D460, products!$A$1:$A$49,0), MATCH(orders!L$1,products!$A$1:$G$1,0))</f>
        <v>11.25</v>
      </c>
      <c r="M460" s="5">
        <f t="shared" si="21"/>
        <v>45</v>
      </c>
      <c r="N460" t="str">
        <f t="shared" si="22"/>
        <v>Arabica</v>
      </c>
      <c r="O460" t="str">
        <f t="shared" si="23"/>
        <v>Medium</v>
      </c>
      <c r="P460" t="str">
        <f>_xlfn.XLOOKUP(Table1[[#This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IF(_xlfn.XLOOKUP(C461,customers!$A$1:$A$1001,customers!C460:C1460,,0)=0,"",_xlfn.XLOOKUP(C461,customers!$A$1:$A$1001,customers!C460:C1460,,0))</f>
        <v>otocquepi@abc.net.au</v>
      </c>
      <c r="H461" s="2" t="str">
        <f>_xlfn.XLOOKUP(orders!C461,customers!$A$1:$A$1001,customers!$G$1:$G$1001,,0)</f>
        <v>United States</v>
      </c>
      <c r="I461" t="str">
        <f>INDEX(products!$A$1:$G$49,MATCH(orders!$D461, products!$A$1:$A$49,0), MATCH(orders!I$1,products!$A$1:$G$1,0))</f>
        <v>Lib</v>
      </c>
      <c r="J461" t="str">
        <f>INDEX(products!$A$1:$G$49,MATCH(orders!$D461, products!$A$1:$A$49,0), MATCH(orders!J$1,products!$A$1:$G$1,0))</f>
        <v>L</v>
      </c>
      <c r="K461" s="4">
        <f>INDEX(products!$A$1:$G$49,MATCH(orders!$D461, products!$A$1:$A$49,0), MATCH(orders!K$1,products!$A$1:$G$1,0))</f>
        <v>0.2</v>
      </c>
      <c r="L461" s="5">
        <f>INDEX(products!$A$1:$G$49,MATCH(orders!$D461, products!$A$1:$A$49,0), MATCH(orders!L$1,products!$A$1:$G$1,0))</f>
        <v>4.7549999999999999</v>
      </c>
      <c r="M461" s="5">
        <f t="shared" si="21"/>
        <v>23.774999999999999</v>
      </c>
      <c r="N461" t="str">
        <f t="shared" si="22"/>
        <v>Liberica</v>
      </c>
      <c r="O461" t="str">
        <f t="shared" si="23"/>
        <v>Light</v>
      </c>
      <c r="P461" t="str">
        <f>_xlfn.XLOOKUP(Table1[[#This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IF(_xlfn.XLOOKUP(C462,customers!$A$1:$A$1001,customers!C461:C1461,,0)=0,"",_xlfn.XLOOKUP(C462,customers!$A$1:$A$1001,customers!C461:C1461,,0))</f>
        <v>hreuvenpk@whitehouse.gov</v>
      </c>
      <c r="H462" s="2" t="str">
        <f>_xlfn.XLOOKUP(orders!C462,customers!$A$1:$A$1001,customers!$G$1:$G$1001,,0)</f>
        <v>Ireland</v>
      </c>
      <c r="I462" t="str">
        <f>INDEX(products!$A$1:$G$49,MATCH(orders!$D462, products!$A$1:$A$49,0), MATCH(orders!I$1,products!$A$1:$G$1,0))</f>
        <v>Rob</v>
      </c>
      <c r="J462" t="str">
        <f>INDEX(products!$A$1:$G$49,MATCH(orders!$D462, products!$A$1:$A$49,0), MATCH(orders!J$1,products!$A$1:$G$1,0))</f>
        <v>D</v>
      </c>
      <c r="K462" s="4">
        <f>INDEX(products!$A$1:$G$49,MATCH(orders!$D462, products!$A$1:$A$49,0), MATCH(orders!K$1,products!$A$1:$G$1,0))</f>
        <v>0.5</v>
      </c>
      <c r="L462" s="5">
        <f>INDEX(products!$A$1:$G$49,MATCH(orders!$D462, products!$A$1:$A$49,0), MATCH(orders!L$1,products!$A$1:$G$1,0))</f>
        <v>5.3699999999999992</v>
      </c>
      <c r="M462" s="5">
        <f t="shared" si="21"/>
        <v>16.11</v>
      </c>
      <c r="N462" t="str">
        <f t="shared" si="22"/>
        <v>Robusta</v>
      </c>
      <c r="O462" t="str">
        <f t="shared" si="23"/>
        <v>Dark</v>
      </c>
      <c r="P462" t="str">
        <f>_xlfn.XLOOKUP(Table1[[#This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IF(_xlfn.XLOOKUP(C463,customers!$A$1:$A$1001,customers!C462:C1462,,0)=0,"",_xlfn.XLOOKUP(C463,customers!$A$1:$A$1001,customers!C462:C1462,,0))</f>
        <v/>
      </c>
      <c r="H463" s="2" t="str">
        <f>_xlfn.XLOOKUP(orders!C463,customers!$A$1:$A$1001,customers!$G$1:$G$1001,,0)</f>
        <v>United Kingdom</v>
      </c>
      <c r="I463" t="str">
        <f>INDEX(products!$A$1:$G$49,MATCH(orders!$D463, products!$A$1:$A$49,0), MATCH(orders!I$1,products!$A$1:$G$1,0))</f>
        <v>Rob</v>
      </c>
      <c r="J463" t="str">
        <f>INDEX(products!$A$1:$G$49,MATCH(orders!$D463, products!$A$1:$A$49,0), MATCH(orders!J$1,products!$A$1:$G$1,0))</f>
        <v>D</v>
      </c>
      <c r="K463" s="4">
        <f>INDEX(products!$A$1:$G$49,MATCH(orders!$D463, products!$A$1:$A$49,0), MATCH(orders!K$1,products!$A$1:$G$1,0))</f>
        <v>0.2</v>
      </c>
      <c r="L463" s="5">
        <f>INDEX(products!$A$1:$G$49,MATCH(orders!$D463, products!$A$1:$A$49,0), MATCH(orders!L$1,products!$A$1:$G$1,0))</f>
        <v>2.6849999999999996</v>
      </c>
      <c r="M463" s="5">
        <f t="shared" si="21"/>
        <v>10.739999999999998</v>
      </c>
      <c r="N463" t="str">
        <f t="shared" si="22"/>
        <v>Robusta</v>
      </c>
      <c r="O463" t="str">
        <f t="shared" si="23"/>
        <v>Dark</v>
      </c>
      <c r="P463" t="str">
        <f>_xlfn.XLOOKUP(Table1[[#This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IF(_xlfn.XLOOKUP(C464,customers!$A$1:$A$1001,customers!C463:C1463,,0)=0,"",_xlfn.XLOOKUP(C464,customers!$A$1:$A$1001,customers!C463:C1463,,0))</f>
        <v>cmaccourtpo@amazon.com</v>
      </c>
      <c r="H464" s="2" t="str">
        <f>_xlfn.XLOOKUP(orders!C464,customers!$A$1:$A$1001,customers!$G$1:$G$1001,,0)</f>
        <v>United States</v>
      </c>
      <c r="I464" t="str">
        <f>INDEX(products!$A$1:$G$49,MATCH(orders!$D464, products!$A$1:$A$49,0), MATCH(orders!I$1,products!$A$1:$G$1,0))</f>
        <v>Ara</v>
      </c>
      <c r="J464" t="str">
        <f>INDEX(products!$A$1:$G$49,MATCH(orders!$D464, products!$A$1:$A$49,0), MATCH(orders!J$1,products!$A$1:$G$1,0))</f>
        <v>D</v>
      </c>
      <c r="K464" s="4">
        <f>INDEX(products!$A$1:$G$49,MATCH(orders!$D464, products!$A$1:$A$49,0), MATCH(orders!K$1,products!$A$1:$G$1,0))</f>
        <v>1</v>
      </c>
      <c r="L464" s="5">
        <f>INDEX(products!$A$1:$G$49,MATCH(orders!$D464, products!$A$1:$A$49,0), MATCH(orders!L$1,products!$A$1:$G$1,0))</f>
        <v>9.9499999999999993</v>
      </c>
      <c r="M464" s="5">
        <f t="shared" si="21"/>
        <v>49.75</v>
      </c>
      <c r="N464" t="str">
        <f t="shared" si="22"/>
        <v>Arabica</v>
      </c>
      <c r="O464" t="str">
        <f t="shared" si="23"/>
        <v>Dark</v>
      </c>
      <c r="P464" t="str">
        <f>_xlfn.XLOOKUP(Table1[[#This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IF(_xlfn.XLOOKUP(C465,customers!$A$1:$A$1001,customers!C464:C1464,,0)=0,"",_xlfn.XLOOKUP(C465,customers!$A$1:$A$1001,customers!C464:C1464,,0))</f>
        <v>ewilsonepq@eepurl.com</v>
      </c>
      <c r="H465" s="2" t="str">
        <f>_xlfn.XLOOKUP(orders!C465,customers!$A$1:$A$1001,customers!$G$1:$G$1001,,0)</f>
        <v>Ireland</v>
      </c>
      <c r="I465" t="str">
        <f>INDEX(products!$A$1:$G$49,MATCH(orders!$D465, products!$A$1:$A$49,0), MATCH(orders!I$1,products!$A$1:$G$1,0))</f>
        <v>Exc</v>
      </c>
      <c r="J465" t="str">
        <f>INDEX(products!$A$1:$G$49,MATCH(orders!$D465, products!$A$1:$A$49,0), MATCH(orders!J$1,products!$A$1:$G$1,0))</f>
        <v>M</v>
      </c>
      <c r="K465" s="4">
        <f>INDEX(products!$A$1:$G$49,MATCH(orders!$D465, products!$A$1:$A$49,0), MATCH(orders!K$1,products!$A$1:$G$1,0))</f>
        <v>1</v>
      </c>
      <c r="L465" s="5">
        <f>INDEX(products!$A$1:$G$49,MATCH(orders!$D465, products!$A$1:$A$49,0), MATCH(orders!L$1,products!$A$1:$G$1,0))</f>
        <v>13.75</v>
      </c>
      <c r="M465" s="5">
        <f t="shared" si="21"/>
        <v>27.5</v>
      </c>
      <c r="N465" t="str">
        <f t="shared" si="22"/>
        <v>Excelsa</v>
      </c>
      <c r="O465" t="str">
        <f t="shared" si="23"/>
        <v>Medium</v>
      </c>
      <c r="P465" t="str">
        <f>_xlfn.XLOOKUP(Table1[[#This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IF(_xlfn.XLOOKUP(C466,customers!$A$1:$A$1001,customers!C465:C1465,,0)=0,"",_xlfn.XLOOKUP(C466,customers!$A$1:$A$1001,customers!C465:C1465,,0))</f>
        <v>mmatiasekps@ucoz.ru</v>
      </c>
      <c r="H466" s="2" t="str">
        <f>_xlfn.XLOOKUP(orders!C466,customers!$A$1:$A$1001,customers!$G$1:$G$1001,,0)</f>
        <v>United Kingdom</v>
      </c>
      <c r="I466" t="str">
        <f>INDEX(products!$A$1:$G$49,MATCH(orders!$D466, products!$A$1:$A$49,0), MATCH(orders!I$1,products!$A$1:$G$1,0))</f>
        <v>Lib</v>
      </c>
      <c r="J466" t="str">
        <f>INDEX(products!$A$1:$G$49,MATCH(orders!$D466, products!$A$1:$A$49,0), MATCH(orders!J$1,products!$A$1:$G$1,0))</f>
        <v>D</v>
      </c>
      <c r="K466" s="4">
        <f>INDEX(products!$A$1:$G$49,MATCH(orders!$D466, products!$A$1:$A$49,0), MATCH(orders!K$1,products!$A$1:$G$1,0))</f>
        <v>2.5</v>
      </c>
      <c r="L466" s="5">
        <f>INDEX(products!$A$1:$G$49,MATCH(orders!$D466, products!$A$1:$A$49,0), MATCH(orders!L$1,products!$A$1:$G$1,0))</f>
        <v>29.784999999999997</v>
      </c>
      <c r="M466" s="5">
        <f t="shared" si="21"/>
        <v>119.13999999999999</v>
      </c>
      <c r="N466" t="str">
        <f t="shared" si="22"/>
        <v>Liberica</v>
      </c>
      <c r="O466" t="str">
        <f t="shared" si="23"/>
        <v>Dark</v>
      </c>
      <c r="P466" t="str">
        <f>_xlfn.XLOOKUP(Table1[[#This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IF(_xlfn.XLOOKUP(C467,customers!$A$1:$A$1001,customers!C466:C1466,,0)=0,"",_xlfn.XLOOKUP(C467,customers!$A$1:$A$1001,customers!C466:C1466,,0))</f>
        <v>kphilbrickpu@cdc.gov</v>
      </c>
      <c r="H467" s="2" t="str">
        <f>_xlfn.XLOOKUP(orders!C467,customers!$A$1:$A$1001,customers!$G$1:$G$1001,,0)</f>
        <v>United States</v>
      </c>
      <c r="I467" t="str">
        <f>INDEX(products!$A$1:$G$49,MATCH(orders!$D467, products!$A$1:$A$49,0), MATCH(orders!I$1,products!$A$1:$G$1,0))</f>
        <v>Rob</v>
      </c>
      <c r="J467" t="str">
        <f>INDEX(products!$A$1:$G$49,MATCH(orders!$D467, products!$A$1:$A$49,0), MATCH(orders!J$1,products!$A$1:$G$1,0))</f>
        <v>D</v>
      </c>
      <c r="K467" s="4">
        <f>INDEX(products!$A$1:$G$49,MATCH(orders!$D467, products!$A$1:$A$49,0), MATCH(orders!K$1,products!$A$1:$G$1,0))</f>
        <v>2.5</v>
      </c>
      <c r="L467" s="5">
        <f>INDEX(products!$A$1:$G$49,MATCH(orders!$D467, products!$A$1:$A$49,0), MATCH(orders!L$1,products!$A$1:$G$1,0))</f>
        <v>20.584999999999997</v>
      </c>
      <c r="M467" s="5">
        <f t="shared" si="21"/>
        <v>20.584999999999997</v>
      </c>
      <c r="N467" t="str">
        <f t="shared" si="22"/>
        <v>Robusta</v>
      </c>
      <c r="O467" t="str">
        <f t="shared" si="23"/>
        <v>Dark</v>
      </c>
      <c r="P467" t="str">
        <f>_xlfn.XLOOKUP(Table1[[#This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IF(_xlfn.XLOOKUP(C468,customers!$A$1:$A$1001,customers!C467:C1467,,0)=0,"",_xlfn.XLOOKUP(C468,customers!$A$1:$A$1001,customers!C467:C1467,,0))</f>
        <v>bsillispw@istockphoto.com</v>
      </c>
      <c r="H468" s="2" t="str">
        <f>_xlfn.XLOOKUP(orders!C468,customers!$A$1:$A$1001,customers!$G$1:$G$1001,,0)</f>
        <v>United States</v>
      </c>
      <c r="I468" t="str">
        <f>INDEX(products!$A$1:$G$49,MATCH(orders!$D468, products!$A$1:$A$49,0), MATCH(orders!I$1,products!$A$1:$G$1,0))</f>
        <v>Ara</v>
      </c>
      <c r="J468" t="str">
        <f>INDEX(products!$A$1:$G$49,MATCH(orders!$D468, products!$A$1:$A$49,0), MATCH(orders!J$1,products!$A$1:$G$1,0))</f>
        <v>D</v>
      </c>
      <c r="K468" s="4">
        <f>INDEX(products!$A$1:$G$49,MATCH(orders!$D468, products!$A$1:$A$49,0), MATCH(orders!K$1,products!$A$1:$G$1,0))</f>
        <v>0.2</v>
      </c>
      <c r="L468" s="5">
        <f>INDEX(products!$A$1:$G$49,MATCH(orders!$D468, products!$A$1:$A$49,0), MATCH(orders!L$1,products!$A$1:$G$1,0))</f>
        <v>2.9849999999999999</v>
      </c>
      <c r="M468" s="5">
        <f t="shared" si="21"/>
        <v>8.9550000000000001</v>
      </c>
      <c r="N468" t="str">
        <f t="shared" si="22"/>
        <v>Arabica</v>
      </c>
      <c r="O468" t="str">
        <f t="shared" si="23"/>
        <v>Dark</v>
      </c>
      <c r="P468" t="str">
        <f>_xlfn.XLOOKUP(Table1[[#This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IF(_xlfn.XLOOKUP(C469,customers!$A$1:$A$1001,customers!C468:C1468,,0)=0,"",_xlfn.XLOOKUP(C469,customers!$A$1:$A$1001,customers!C468:C1468,,0))</f>
        <v>rcuttspy@techcrunch.com</v>
      </c>
      <c r="H469" s="2" t="str">
        <f>_xlfn.XLOOKUP(orders!C469,customers!$A$1:$A$1001,customers!$G$1:$G$1001,,0)</f>
        <v>United States</v>
      </c>
      <c r="I469" t="str">
        <f>INDEX(products!$A$1:$G$49,MATCH(orders!$D469, products!$A$1:$A$49,0), MATCH(orders!I$1,products!$A$1:$G$1,0))</f>
        <v>Ara</v>
      </c>
      <c r="J469" t="str">
        <f>INDEX(products!$A$1:$G$49,MATCH(orders!$D469, products!$A$1:$A$49,0), MATCH(orders!J$1,products!$A$1:$G$1,0))</f>
        <v>D</v>
      </c>
      <c r="K469" s="4">
        <f>INDEX(products!$A$1:$G$49,MATCH(orders!$D469, products!$A$1:$A$49,0), MATCH(orders!K$1,products!$A$1:$G$1,0))</f>
        <v>0.5</v>
      </c>
      <c r="L469" s="5">
        <f>INDEX(products!$A$1:$G$49,MATCH(orders!$D469, products!$A$1:$A$49,0), MATCH(orders!L$1,products!$A$1:$G$1,0))</f>
        <v>5.97</v>
      </c>
      <c r="M469" s="5">
        <f t="shared" si="21"/>
        <v>5.97</v>
      </c>
      <c r="N469" t="str">
        <f t="shared" si="22"/>
        <v>Arabica</v>
      </c>
      <c r="O469" t="str">
        <f t="shared" si="23"/>
        <v>Dark</v>
      </c>
      <c r="P469" t="str">
        <f>_xlfn.XLOOKUP(Table1[[#This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IF(_xlfn.XLOOKUP(C470,customers!$A$1:$A$1001,customers!C469:C1469,,0)=0,"",_xlfn.XLOOKUP(C470,customers!$A$1:$A$1001,customers!C469:C1469,,0))</f>
        <v>dgrittonq0@nydailynews.com</v>
      </c>
      <c r="H470" s="2" t="str">
        <f>_xlfn.XLOOKUP(orders!C470,customers!$A$1:$A$1001,customers!$G$1:$G$1001,,0)</f>
        <v>United States</v>
      </c>
      <c r="I470" t="str">
        <f>INDEX(products!$A$1:$G$49,MATCH(orders!$D470, products!$A$1:$A$49,0), MATCH(orders!I$1,products!$A$1:$G$1,0))</f>
        <v>Exc</v>
      </c>
      <c r="J470" t="str">
        <f>INDEX(products!$A$1:$G$49,MATCH(orders!$D470, products!$A$1:$A$49,0), MATCH(orders!J$1,products!$A$1:$G$1,0))</f>
        <v>M</v>
      </c>
      <c r="K470" s="4">
        <f>INDEX(products!$A$1:$G$49,MATCH(orders!$D470, products!$A$1:$A$49,0), MATCH(orders!K$1,products!$A$1:$G$1,0))</f>
        <v>1</v>
      </c>
      <c r="L470" s="5">
        <f>INDEX(products!$A$1:$G$49,MATCH(orders!$D470, products!$A$1:$A$49,0), MATCH(orders!L$1,products!$A$1:$G$1,0))</f>
        <v>13.75</v>
      </c>
      <c r="M470" s="5">
        <f t="shared" si="21"/>
        <v>41.25</v>
      </c>
      <c r="N470" t="str">
        <f t="shared" si="22"/>
        <v>Excelsa</v>
      </c>
      <c r="O470" t="str">
        <f t="shared" si="23"/>
        <v>Medium</v>
      </c>
      <c r="P470" t="str">
        <f>_xlfn.XLOOKUP(Table1[[#This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IF(_xlfn.XLOOKUP(C471,customers!$A$1:$A$1001,customers!C470:C1470,,0)=0,"",_xlfn.XLOOKUP(C471,customers!$A$1:$A$1001,customers!C470:C1470,,0))</f>
        <v>rfaltinqb@topsy.com</v>
      </c>
      <c r="H471" s="2" t="str">
        <f>_xlfn.XLOOKUP(orders!C471,customers!$A$1:$A$1001,customers!$G$1:$G$1001,,0)</f>
        <v>United States</v>
      </c>
      <c r="I471" t="str">
        <f>INDEX(products!$A$1:$G$49,MATCH(orders!$D471, products!$A$1:$A$49,0), MATCH(orders!I$1,products!$A$1:$G$1,0))</f>
        <v>Exc</v>
      </c>
      <c r="J471" t="str">
        <f>INDEX(products!$A$1:$G$49,MATCH(orders!$D471, products!$A$1:$A$49,0), MATCH(orders!J$1,products!$A$1:$G$1,0))</f>
        <v>L</v>
      </c>
      <c r="K471" s="4">
        <f>INDEX(products!$A$1:$G$49,MATCH(orders!$D471, products!$A$1:$A$49,0), MATCH(orders!K$1,products!$A$1:$G$1,0))</f>
        <v>0.2</v>
      </c>
      <c r="L471" s="5">
        <f>INDEX(products!$A$1:$G$49,MATCH(orders!$D471, products!$A$1:$A$49,0), MATCH(orders!L$1,products!$A$1:$G$1,0))</f>
        <v>4.4550000000000001</v>
      </c>
      <c r="M471" s="5">
        <f t="shared" si="21"/>
        <v>22.274999999999999</v>
      </c>
      <c r="N471" t="str">
        <f t="shared" si="22"/>
        <v>Excelsa</v>
      </c>
      <c r="O471" t="str">
        <f t="shared" si="23"/>
        <v>Light</v>
      </c>
      <c r="P471" t="str">
        <f>_xlfn.XLOOKUP(Table1[[#This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IF(_xlfn.XLOOKUP(C472,customers!$A$1:$A$1001,customers!C471:C1471,,0)=0,"",_xlfn.XLOOKUP(C472,customers!$A$1:$A$1001,customers!C471:C1471,,0))</f>
        <v>gsiudaq4@nytimes.com</v>
      </c>
      <c r="H472" s="2" t="str">
        <f>_xlfn.XLOOKUP(orders!C472,customers!$A$1:$A$1001,customers!$G$1:$G$1001,,0)</f>
        <v>United States</v>
      </c>
      <c r="I472" t="str">
        <f>INDEX(products!$A$1:$G$49,MATCH(orders!$D472, products!$A$1:$A$49,0), MATCH(orders!I$1,products!$A$1:$G$1,0))</f>
        <v>Ara</v>
      </c>
      <c r="J472" t="str">
        <f>INDEX(products!$A$1:$G$49,MATCH(orders!$D472, products!$A$1:$A$49,0), MATCH(orders!J$1,products!$A$1:$G$1,0))</f>
        <v>M</v>
      </c>
      <c r="K472" s="4">
        <f>INDEX(products!$A$1:$G$49,MATCH(orders!$D472, products!$A$1:$A$49,0), MATCH(orders!K$1,products!$A$1:$G$1,0))</f>
        <v>0.5</v>
      </c>
      <c r="L472" s="5">
        <f>INDEX(products!$A$1:$G$49,MATCH(orders!$D472, products!$A$1:$A$49,0), MATCH(orders!L$1,products!$A$1:$G$1,0))</f>
        <v>6.75</v>
      </c>
      <c r="M472" s="5">
        <f t="shared" si="21"/>
        <v>6.75</v>
      </c>
      <c r="N472" t="str">
        <f t="shared" si="22"/>
        <v>Arabica</v>
      </c>
      <c r="O472" t="str">
        <f t="shared" si="23"/>
        <v>Medium</v>
      </c>
      <c r="P472" t="str">
        <f>_xlfn.XLOOKUP(Table1[[#This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IF(_xlfn.XLOOKUP(C473,customers!$A$1:$A$1001,customers!C472:C1472,,0)=0,"",_xlfn.XLOOKUP(C473,customers!$A$1:$A$1001,customers!C472:C1472,,0))</f>
        <v>vpawseyq6@tiny.cc</v>
      </c>
      <c r="H473" s="2" t="str">
        <f>_xlfn.XLOOKUP(orders!C473,customers!$A$1:$A$1001,customers!$G$1:$G$1001,,0)</f>
        <v>United States</v>
      </c>
      <c r="I473" t="str">
        <f>INDEX(products!$A$1:$G$49,MATCH(orders!$D473, products!$A$1:$A$49,0), MATCH(orders!I$1,products!$A$1:$G$1,0))</f>
        <v>Lib</v>
      </c>
      <c r="J473" t="str">
        <f>INDEX(products!$A$1:$G$49,MATCH(orders!$D473, products!$A$1:$A$49,0), MATCH(orders!J$1,products!$A$1:$G$1,0))</f>
        <v>M</v>
      </c>
      <c r="K473" s="4">
        <f>INDEX(products!$A$1:$G$49,MATCH(orders!$D473, products!$A$1:$A$49,0), MATCH(orders!K$1,products!$A$1:$G$1,0))</f>
        <v>2.5</v>
      </c>
      <c r="L473" s="5">
        <f>INDEX(products!$A$1:$G$49,MATCH(orders!$D473, products!$A$1:$A$49,0), MATCH(orders!L$1,products!$A$1:$G$1,0))</f>
        <v>33.464999999999996</v>
      </c>
      <c r="M473" s="5">
        <f t="shared" si="21"/>
        <v>133.85999999999999</v>
      </c>
      <c r="N473" t="str">
        <f t="shared" si="22"/>
        <v>Liberica</v>
      </c>
      <c r="O473" t="str">
        <f t="shared" si="23"/>
        <v>Medium</v>
      </c>
      <c r="P473" t="str">
        <f>_xlfn.XLOOKUP(Table1[[#This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IF(_xlfn.XLOOKUP(C474,customers!$A$1:$A$1001,customers!C473:C1473,,0)=0,"",_xlfn.XLOOKUP(C474,customers!$A$1:$A$1001,customers!C473:C1473,,0))</f>
        <v>fhaughianq8@1688.com</v>
      </c>
      <c r="H474" s="2" t="str">
        <f>_xlfn.XLOOKUP(orders!C474,customers!$A$1:$A$1001,customers!$G$1:$G$1001,,0)</f>
        <v>United States</v>
      </c>
      <c r="I474" t="str">
        <f>INDEX(products!$A$1:$G$49,MATCH(orders!$D474, products!$A$1:$A$49,0), MATCH(orders!I$1,products!$A$1:$G$1,0))</f>
        <v>Ara</v>
      </c>
      <c r="J474" t="str">
        <f>INDEX(products!$A$1:$G$49,MATCH(orders!$D474, products!$A$1:$A$49,0), MATCH(orders!J$1,products!$A$1:$G$1,0))</f>
        <v>D</v>
      </c>
      <c r="K474" s="4">
        <f>INDEX(products!$A$1:$G$49,MATCH(orders!$D474, products!$A$1:$A$49,0), MATCH(orders!K$1,products!$A$1:$G$1,0))</f>
        <v>0.2</v>
      </c>
      <c r="L474" s="5">
        <f>INDEX(products!$A$1:$G$49,MATCH(orders!$D474, products!$A$1:$A$49,0), MATCH(orders!L$1,products!$A$1:$G$1,0))</f>
        <v>2.9849999999999999</v>
      </c>
      <c r="M474" s="5">
        <f t="shared" si="21"/>
        <v>5.97</v>
      </c>
      <c r="N474" t="str">
        <f t="shared" si="22"/>
        <v>Arabica</v>
      </c>
      <c r="O474" t="str">
        <f t="shared" si="23"/>
        <v>Dark</v>
      </c>
      <c r="P474" t="str">
        <f>_xlfn.XLOOKUP(Table1[[#This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IF(_xlfn.XLOOKUP(C475,customers!$A$1:$A$1001,customers!C474:C1474,,0)=0,"",_xlfn.XLOOKUP(C475,customers!$A$1:$A$1001,customers!C474:C1474,,0))</f>
        <v/>
      </c>
      <c r="H475" s="2" t="str">
        <f>_xlfn.XLOOKUP(orders!C475,customers!$A$1:$A$1001,customers!$G$1:$G$1001,,0)</f>
        <v>United States</v>
      </c>
      <c r="I475" t="str">
        <f>INDEX(products!$A$1:$G$49,MATCH(orders!$D475, products!$A$1:$A$49,0), MATCH(orders!I$1,products!$A$1:$G$1,0))</f>
        <v>Ara</v>
      </c>
      <c r="J475" t="str">
        <f>INDEX(products!$A$1:$G$49,MATCH(orders!$D475, products!$A$1:$A$49,0), MATCH(orders!J$1,products!$A$1:$G$1,0))</f>
        <v>L</v>
      </c>
      <c r="K475" s="4">
        <f>INDEX(products!$A$1:$G$49,MATCH(orders!$D475, products!$A$1:$A$49,0), MATCH(orders!K$1,products!$A$1:$G$1,0))</f>
        <v>1</v>
      </c>
      <c r="L475" s="5">
        <f>INDEX(products!$A$1:$G$49,MATCH(orders!$D475, products!$A$1:$A$49,0), MATCH(orders!L$1,products!$A$1:$G$1,0))</f>
        <v>12.95</v>
      </c>
      <c r="M475" s="5">
        <f t="shared" si="21"/>
        <v>25.9</v>
      </c>
      <c r="N475" t="str">
        <f t="shared" si="22"/>
        <v>Arabica</v>
      </c>
      <c r="O475" t="str">
        <f t="shared" si="23"/>
        <v>Light</v>
      </c>
      <c r="P475" t="str">
        <f>_xlfn.XLOOKUP(Table1[[#This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IF(_xlfn.XLOOKUP(C476,customers!$A$1:$A$1001,customers!C475:C1475,,0)=0,"",_xlfn.XLOOKUP(C476,customers!$A$1:$A$1001,customers!C475:C1475,,0))</f>
        <v>gcheekeqc@sitemeter.com</v>
      </c>
      <c r="H476" s="2" t="str">
        <f>_xlfn.XLOOKUP(orders!C476,customers!$A$1:$A$1001,customers!$G$1:$G$1001,,0)</f>
        <v>Ireland</v>
      </c>
      <c r="I476" t="str">
        <f>INDEX(products!$A$1:$G$49,MATCH(orders!$D476, products!$A$1:$A$49,0), MATCH(orders!I$1,products!$A$1:$G$1,0))</f>
        <v>Exc</v>
      </c>
      <c r="J476" t="str">
        <f>INDEX(products!$A$1:$G$49,MATCH(orders!$D476, products!$A$1:$A$49,0), MATCH(orders!J$1,products!$A$1:$G$1,0))</f>
        <v>M</v>
      </c>
      <c r="K476" s="4">
        <f>INDEX(products!$A$1:$G$49,MATCH(orders!$D476, products!$A$1:$A$49,0), MATCH(orders!K$1,products!$A$1:$G$1,0))</f>
        <v>2.5</v>
      </c>
      <c r="L476" s="5">
        <f>INDEX(products!$A$1:$G$49,MATCH(orders!$D476, products!$A$1:$A$49,0), MATCH(orders!L$1,products!$A$1:$G$1,0))</f>
        <v>31.624999999999996</v>
      </c>
      <c r="M476" s="5">
        <f t="shared" si="21"/>
        <v>31.624999999999996</v>
      </c>
      <c r="N476" t="str">
        <f t="shared" si="22"/>
        <v>Excelsa</v>
      </c>
      <c r="O476" t="str">
        <f t="shared" si="23"/>
        <v>Medium</v>
      </c>
      <c r="P476" t="str">
        <f>_xlfn.XLOOKUP(Table1[[#This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IF(_xlfn.XLOOKUP(C477,customers!$A$1:$A$1001,customers!C476:C1476,,0)=0,"",_xlfn.XLOOKUP(C477,customers!$A$1:$A$1001,customers!C476:C1476,,0))</f>
        <v/>
      </c>
      <c r="H477" s="2" t="str">
        <f>_xlfn.XLOOKUP(orders!C477,customers!$A$1:$A$1001,customers!$G$1:$G$1001,,0)</f>
        <v>United States</v>
      </c>
      <c r="I477" t="str">
        <f>INDEX(products!$A$1:$G$49,MATCH(orders!$D477, products!$A$1:$A$49,0), MATCH(orders!I$1,products!$A$1:$G$1,0))</f>
        <v>Lib</v>
      </c>
      <c r="J477" t="str">
        <f>INDEX(products!$A$1:$G$49,MATCH(orders!$D477, products!$A$1:$A$49,0), MATCH(orders!J$1,products!$A$1:$G$1,0))</f>
        <v>M</v>
      </c>
      <c r="K477" s="4">
        <f>INDEX(products!$A$1:$G$49,MATCH(orders!$D477, products!$A$1:$A$49,0), MATCH(orders!K$1,products!$A$1:$G$1,0))</f>
        <v>0.2</v>
      </c>
      <c r="L477" s="5">
        <f>INDEX(products!$A$1:$G$49,MATCH(orders!$D477, products!$A$1:$A$49,0), MATCH(orders!L$1,products!$A$1:$G$1,0))</f>
        <v>4.3650000000000002</v>
      </c>
      <c r="M477" s="5">
        <f t="shared" si="21"/>
        <v>8.73</v>
      </c>
      <c r="N477" t="str">
        <f t="shared" si="22"/>
        <v>Liberica</v>
      </c>
      <c r="O477" t="str">
        <f t="shared" si="23"/>
        <v>Medium</v>
      </c>
      <c r="P477" t="str">
        <f>_xlfn.XLOOKUP(Table1[[#This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IF(_xlfn.XLOOKUP(C478,customers!$A$1:$A$1001,customers!C477:C1477,,0)=0,"",_xlfn.XLOOKUP(C478,customers!$A$1:$A$1001,customers!C477:C1477,,0))</f>
        <v>jdrengqg@uiuc.edu</v>
      </c>
      <c r="H478" s="2" t="str">
        <f>_xlfn.XLOOKUP(orders!C478,customers!$A$1:$A$1001,customers!$G$1:$G$1001,,0)</f>
        <v>United States</v>
      </c>
      <c r="I478" t="str">
        <f>INDEX(products!$A$1:$G$49,MATCH(orders!$D478, products!$A$1:$A$49,0), MATCH(orders!I$1,products!$A$1:$G$1,0))</f>
        <v>Exc</v>
      </c>
      <c r="J478" t="str">
        <f>INDEX(products!$A$1:$G$49,MATCH(orders!$D478, products!$A$1:$A$49,0), MATCH(orders!J$1,products!$A$1:$G$1,0))</f>
        <v>L</v>
      </c>
      <c r="K478" s="4">
        <f>INDEX(products!$A$1:$G$49,MATCH(orders!$D478, products!$A$1:$A$49,0), MATCH(orders!K$1,products!$A$1:$G$1,0))</f>
        <v>0.2</v>
      </c>
      <c r="L478" s="5">
        <f>INDEX(products!$A$1:$G$49,MATCH(orders!$D478, products!$A$1:$A$49,0), MATCH(orders!L$1,products!$A$1:$G$1,0))</f>
        <v>4.4550000000000001</v>
      </c>
      <c r="M478" s="5">
        <f t="shared" si="21"/>
        <v>26.73</v>
      </c>
      <c r="N478" t="str">
        <f t="shared" si="22"/>
        <v>Excelsa</v>
      </c>
      <c r="O478" t="str">
        <f t="shared" si="23"/>
        <v>Light</v>
      </c>
      <c r="P478" t="str">
        <f>_xlfn.XLOOKUP(Table1[[#This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IF(_xlfn.XLOOKUP(C479,customers!$A$1:$A$1001,customers!C478:C1478,,0)=0,"",_xlfn.XLOOKUP(C479,customers!$A$1:$A$1001,customers!C478:C1478,,0))</f>
        <v>clampelqi@jimdo.com</v>
      </c>
      <c r="H479" s="2" t="str">
        <f>_xlfn.XLOOKUP(orders!C479,customers!$A$1:$A$1001,customers!$G$1:$G$1001,,0)</f>
        <v>United States</v>
      </c>
      <c r="I479" t="str">
        <f>INDEX(products!$A$1:$G$49,MATCH(orders!$D479, products!$A$1:$A$49,0), MATCH(orders!I$1,products!$A$1:$G$1,0))</f>
        <v>Lib</v>
      </c>
      <c r="J479" t="str">
        <f>INDEX(products!$A$1:$G$49,MATCH(orders!$D479, products!$A$1:$A$49,0), MATCH(orders!J$1,products!$A$1:$G$1,0))</f>
        <v>M</v>
      </c>
      <c r="K479" s="4">
        <f>INDEX(products!$A$1:$G$49,MATCH(orders!$D479, products!$A$1:$A$49,0), MATCH(orders!K$1,products!$A$1:$G$1,0))</f>
        <v>0.2</v>
      </c>
      <c r="L479" s="5">
        <f>INDEX(products!$A$1:$G$49,MATCH(orders!$D479, products!$A$1:$A$49,0), MATCH(orders!L$1,products!$A$1:$G$1,0))</f>
        <v>4.3650000000000002</v>
      </c>
      <c r="M479" s="5">
        <f t="shared" si="21"/>
        <v>26.19</v>
      </c>
      <c r="N479" t="str">
        <f t="shared" si="22"/>
        <v>Liberica</v>
      </c>
      <c r="O479" t="str">
        <f t="shared" si="23"/>
        <v>Medium</v>
      </c>
      <c r="P479" t="str">
        <f>_xlfn.XLOOKUP(Table1[[#This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IF(_xlfn.XLOOKUP(C480,customers!$A$1:$A$1001,customers!C479:C1479,,0)=0,"",_xlfn.XLOOKUP(C480,customers!$A$1:$A$1001,customers!C479:C1479,,0))</f>
        <v>edearmanqk@redcross.org</v>
      </c>
      <c r="H480" s="2" t="str">
        <f>_xlfn.XLOOKUP(orders!C480,customers!$A$1:$A$1001,customers!$G$1:$G$1001,,0)</f>
        <v>United States</v>
      </c>
      <c r="I480" t="str">
        <f>INDEX(products!$A$1:$G$49,MATCH(orders!$D480, products!$A$1:$A$49,0), MATCH(orders!I$1,products!$A$1:$G$1,0))</f>
        <v>Rob</v>
      </c>
      <c r="J480" t="str">
        <f>INDEX(products!$A$1:$G$49,MATCH(orders!$D480, products!$A$1:$A$49,0), MATCH(orders!J$1,products!$A$1:$G$1,0))</f>
        <v>D</v>
      </c>
      <c r="K480" s="4">
        <f>INDEX(products!$A$1:$G$49,MATCH(orders!$D480, products!$A$1:$A$49,0), MATCH(orders!K$1,products!$A$1:$G$1,0))</f>
        <v>1</v>
      </c>
      <c r="L480" s="5">
        <f>INDEX(products!$A$1:$G$49,MATCH(orders!$D480, products!$A$1:$A$49,0), MATCH(orders!L$1,products!$A$1:$G$1,0))</f>
        <v>8.9499999999999993</v>
      </c>
      <c r="M480" s="5">
        <f t="shared" si="21"/>
        <v>53.699999999999996</v>
      </c>
      <c r="N480" t="str">
        <f t="shared" si="22"/>
        <v>Robusta</v>
      </c>
      <c r="O480" t="str">
        <f t="shared" si="23"/>
        <v>Dark</v>
      </c>
      <c r="P480" t="str">
        <f>_xlfn.XLOOKUP(Table1[[#This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IF(_xlfn.XLOOKUP(C481,customers!$A$1:$A$1001,customers!C480:C1480,,0)=0,"",_xlfn.XLOOKUP(C481,customers!$A$1:$A$1001,customers!C480:C1480,,0))</f>
        <v>dlenardql@bizjournals.com</v>
      </c>
      <c r="H481" s="2" t="str">
        <f>_xlfn.XLOOKUP(orders!C481,customers!$A$1:$A$1001,customers!$G$1:$G$1001,,0)</f>
        <v>United States</v>
      </c>
      <c r="I481" t="str">
        <f>INDEX(products!$A$1:$G$49,MATCH(orders!$D481, products!$A$1:$A$49,0), MATCH(orders!I$1,products!$A$1:$G$1,0))</f>
        <v>Exc</v>
      </c>
      <c r="J481" t="str">
        <f>INDEX(products!$A$1:$G$49,MATCH(orders!$D481, products!$A$1:$A$49,0), MATCH(orders!J$1,products!$A$1:$G$1,0))</f>
        <v>M</v>
      </c>
      <c r="K481" s="4">
        <f>INDEX(products!$A$1:$G$49,MATCH(orders!$D481, products!$A$1:$A$49,0), MATCH(orders!K$1,products!$A$1:$G$1,0))</f>
        <v>2.5</v>
      </c>
      <c r="L481" s="5">
        <f>INDEX(products!$A$1:$G$49,MATCH(orders!$D481, products!$A$1:$A$49,0), MATCH(orders!L$1,products!$A$1:$G$1,0))</f>
        <v>31.624999999999996</v>
      </c>
      <c r="M481" s="5">
        <f t="shared" si="21"/>
        <v>126.49999999999999</v>
      </c>
      <c r="N481" t="str">
        <f t="shared" si="22"/>
        <v>Excelsa</v>
      </c>
      <c r="O481" t="str">
        <f t="shared" si="23"/>
        <v>Medium</v>
      </c>
      <c r="P481" t="str">
        <f>_xlfn.XLOOKUP(Table1[[#This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IF(_xlfn.XLOOKUP(C482,customers!$A$1:$A$1001,customers!C481:C1481,,0)=0,"",_xlfn.XLOOKUP(C482,customers!$A$1:$A$1001,customers!C481:C1481,,0))</f>
        <v>ltoffanoqm@tripadvisor.com</v>
      </c>
      <c r="H482" s="2" t="str">
        <f>_xlfn.XLOOKUP(orders!C482,customers!$A$1:$A$1001,customers!$G$1:$G$1001,,0)</f>
        <v>United States</v>
      </c>
      <c r="I482" t="str">
        <f>INDEX(products!$A$1:$G$49,MATCH(orders!$D482, products!$A$1:$A$49,0), MATCH(orders!I$1,products!$A$1:$G$1,0))</f>
        <v>Exc</v>
      </c>
      <c r="J482" t="str">
        <f>INDEX(products!$A$1:$G$49,MATCH(orders!$D482, products!$A$1:$A$49,0), MATCH(orders!J$1,products!$A$1:$G$1,0))</f>
        <v>M</v>
      </c>
      <c r="K482" s="4">
        <f>INDEX(products!$A$1:$G$49,MATCH(orders!$D482, products!$A$1:$A$49,0), MATCH(orders!K$1,products!$A$1:$G$1,0))</f>
        <v>0.2</v>
      </c>
      <c r="L482" s="5">
        <f>INDEX(products!$A$1:$G$49,MATCH(orders!$D482, products!$A$1:$A$49,0), MATCH(orders!L$1,products!$A$1:$G$1,0))</f>
        <v>4.125</v>
      </c>
      <c r="M482" s="5">
        <f t="shared" si="21"/>
        <v>4.125</v>
      </c>
      <c r="N482" t="str">
        <f t="shared" si="22"/>
        <v>Excelsa</v>
      </c>
      <c r="O482" t="str">
        <f t="shared" si="23"/>
        <v>Medium</v>
      </c>
      <c r="P482" t="str">
        <f>_xlfn.XLOOKUP(Table1[[#This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IF(_xlfn.XLOOKUP(C483,customers!$A$1:$A$1001,customers!C482:C1482,,0)=0,"",_xlfn.XLOOKUP(C483,customers!$A$1:$A$1001,customers!C482:C1482,,0))</f>
        <v>mrocksqq@exblog.jp</v>
      </c>
      <c r="H483" s="2" t="str">
        <f>_xlfn.XLOOKUP(orders!C483,customers!$A$1:$A$1001,customers!$G$1:$G$1001,,0)</f>
        <v>United Kingdom</v>
      </c>
      <c r="I483" t="str">
        <f>INDEX(products!$A$1:$G$49,MATCH(orders!$D483, products!$A$1:$A$49,0), MATCH(orders!I$1,products!$A$1:$G$1,0))</f>
        <v>Rob</v>
      </c>
      <c r="J483" t="str">
        <f>INDEX(products!$A$1:$G$49,MATCH(orders!$D483, products!$A$1:$A$49,0), MATCH(orders!J$1,products!$A$1:$G$1,0))</f>
        <v>L</v>
      </c>
      <c r="K483" s="4">
        <f>INDEX(products!$A$1:$G$49,MATCH(orders!$D483, products!$A$1:$A$49,0), MATCH(orders!K$1,products!$A$1:$G$1,0))</f>
        <v>1</v>
      </c>
      <c r="L483" s="5">
        <f>INDEX(products!$A$1:$G$49,MATCH(orders!$D483, products!$A$1:$A$49,0), MATCH(orders!L$1,products!$A$1:$G$1,0))</f>
        <v>11.95</v>
      </c>
      <c r="M483" s="5">
        <f t="shared" si="21"/>
        <v>23.9</v>
      </c>
      <c r="N483" t="str">
        <f t="shared" si="22"/>
        <v>Robusta</v>
      </c>
      <c r="O483" t="str">
        <f t="shared" si="23"/>
        <v>Light</v>
      </c>
      <c r="P483" t="str">
        <f>_xlfn.XLOOKUP(Table1[[#This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IF(_xlfn.XLOOKUP(C484,customers!$A$1:$A$1001,customers!C483:C1483,,0)=0,"",_xlfn.XLOOKUP(C484,customers!$A$1:$A$1001,customers!C483:C1483,,0))</f>
        <v>cgoodrumqs@goodreads.com</v>
      </c>
      <c r="H484" s="2" t="str">
        <f>_xlfn.XLOOKUP(orders!C484,customers!$A$1:$A$1001,customers!$G$1:$G$1001,,0)</f>
        <v>United States</v>
      </c>
      <c r="I484" t="str">
        <f>INDEX(products!$A$1:$G$49,MATCH(orders!$D484, products!$A$1:$A$49,0), MATCH(orders!I$1,products!$A$1:$G$1,0))</f>
        <v>Exc</v>
      </c>
      <c r="J484" t="str">
        <f>INDEX(products!$A$1:$G$49,MATCH(orders!$D484, products!$A$1:$A$49,0), MATCH(orders!J$1,products!$A$1:$G$1,0))</f>
        <v>D</v>
      </c>
      <c r="K484" s="4">
        <f>INDEX(products!$A$1:$G$49,MATCH(orders!$D484, products!$A$1:$A$49,0), MATCH(orders!K$1,products!$A$1:$G$1,0))</f>
        <v>2.5</v>
      </c>
      <c r="L484" s="5">
        <f>INDEX(products!$A$1:$G$49,MATCH(orders!$D484, products!$A$1:$A$49,0), MATCH(orders!L$1,products!$A$1:$G$1,0))</f>
        <v>27.945</v>
      </c>
      <c r="M484" s="5">
        <f t="shared" si="21"/>
        <v>139.72499999999999</v>
      </c>
      <c r="N484" t="str">
        <f t="shared" si="22"/>
        <v>Excelsa</v>
      </c>
      <c r="O484" t="str">
        <f t="shared" si="23"/>
        <v>Dark</v>
      </c>
      <c r="P484" t="str">
        <f>_xlfn.XLOOKUP(Table1[[#This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IF(_xlfn.XLOOKUP(C485,customers!$A$1:$A$1001,customers!C484:C1484,,0)=0,"",_xlfn.XLOOKUP(C485,customers!$A$1:$A$1001,customers!C484:C1484,,0))</f>
        <v>bwardellqu@adobe.com</v>
      </c>
      <c r="H485" s="2" t="str">
        <f>_xlfn.XLOOKUP(orders!C485,customers!$A$1:$A$1001,customers!$G$1:$G$1001,,0)</f>
        <v>United States</v>
      </c>
      <c r="I485" t="str">
        <f>INDEX(products!$A$1:$G$49,MATCH(orders!$D485, products!$A$1:$A$49,0), MATCH(orders!I$1,products!$A$1:$G$1,0))</f>
        <v>Lib</v>
      </c>
      <c r="J485" t="str">
        <f>INDEX(products!$A$1:$G$49,MATCH(orders!$D485, products!$A$1:$A$49,0), MATCH(orders!J$1,products!$A$1:$G$1,0))</f>
        <v>D</v>
      </c>
      <c r="K485" s="4">
        <f>INDEX(products!$A$1:$G$49,MATCH(orders!$D485, products!$A$1:$A$49,0), MATCH(orders!K$1,products!$A$1:$G$1,0))</f>
        <v>2.5</v>
      </c>
      <c r="L485" s="5">
        <f>INDEX(products!$A$1:$G$49,MATCH(orders!$D485, products!$A$1:$A$49,0), MATCH(orders!L$1,products!$A$1:$G$1,0))</f>
        <v>29.784999999999997</v>
      </c>
      <c r="M485" s="5">
        <f t="shared" si="21"/>
        <v>59.569999999999993</v>
      </c>
      <c r="N485" t="str">
        <f t="shared" si="22"/>
        <v>Liberica</v>
      </c>
      <c r="O485" t="str">
        <f t="shared" si="23"/>
        <v>Dark</v>
      </c>
      <c r="P485" t="str">
        <f>_xlfn.XLOOKUP(Table1[[#This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IF(_xlfn.XLOOKUP(C486,customers!$A$1:$A$1001,customers!C485:C1485,,0)=0,"",_xlfn.XLOOKUP(C486,customers!$A$1:$A$1001,customers!C485:C1485,,0))</f>
        <v>wleopoldqw@blogspot.com</v>
      </c>
      <c r="H486" s="2" t="str">
        <f>_xlfn.XLOOKUP(orders!C486,customers!$A$1:$A$1001,customers!$G$1:$G$1001,,0)</f>
        <v>United States</v>
      </c>
      <c r="I486" t="str">
        <f>INDEX(products!$A$1:$G$49,MATCH(orders!$D486, products!$A$1:$A$49,0), MATCH(orders!I$1,products!$A$1:$G$1,0))</f>
        <v>Lib</v>
      </c>
      <c r="J486" t="str">
        <f>INDEX(products!$A$1:$G$49,MATCH(orders!$D486, products!$A$1:$A$49,0), MATCH(orders!J$1,products!$A$1:$G$1,0))</f>
        <v>L</v>
      </c>
      <c r="K486" s="4">
        <f>INDEX(products!$A$1:$G$49,MATCH(orders!$D486, products!$A$1:$A$49,0), MATCH(orders!K$1,products!$A$1:$G$1,0))</f>
        <v>0.5</v>
      </c>
      <c r="L486" s="5">
        <f>INDEX(products!$A$1:$G$49,MATCH(orders!$D486, products!$A$1:$A$49,0), MATCH(orders!L$1,products!$A$1:$G$1,0))</f>
        <v>9.51</v>
      </c>
      <c r="M486" s="5">
        <f t="shared" si="21"/>
        <v>57.06</v>
      </c>
      <c r="N486" t="str">
        <f t="shared" si="22"/>
        <v>Liberica</v>
      </c>
      <c r="O486" t="str">
        <f t="shared" si="23"/>
        <v>Light</v>
      </c>
      <c r="P486" t="str">
        <f>_xlfn.XLOOKUP(Table1[[#This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IF(_xlfn.XLOOKUP(C487,customers!$A$1:$A$1001,customers!C486:C1486,,0)=0,"",_xlfn.XLOOKUP(C487,customers!$A$1:$A$1001,customers!C486:C1486,,0))</f>
        <v/>
      </c>
      <c r="H487" s="2" t="str">
        <f>_xlfn.XLOOKUP(orders!C487,customers!$A$1:$A$1001,customers!$G$1:$G$1001,,0)</f>
        <v>Ireland</v>
      </c>
      <c r="I487" t="str">
        <f>INDEX(products!$A$1:$G$49,MATCH(orders!$D487, products!$A$1:$A$49,0), MATCH(orders!I$1,products!$A$1:$G$1,0))</f>
        <v>Rob</v>
      </c>
      <c r="J487" t="str">
        <f>INDEX(products!$A$1:$G$49,MATCH(orders!$D487, products!$A$1:$A$49,0), MATCH(orders!J$1,products!$A$1:$G$1,0))</f>
        <v>L</v>
      </c>
      <c r="K487" s="4">
        <f>INDEX(products!$A$1:$G$49,MATCH(orders!$D487, products!$A$1:$A$49,0), MATCH(orders!K$1,products!$A$1:$G$1,0))</f>
        <v>0.2</v>
      </c>
      <c r="L487" s="5">
        <f>INDEX(products!$A$1:$G$49,MATCH(orders!$D487, products!$A$1:$A$49,0), MATCH(orders!L$1,products!$A$1:$G$1,0))</f>
        <v>3.5849999999999995</v>
      </c>
      <c r="M487" s="5">
        <f t="shared" si="21"/>
        <v>21.509999999999998</v>
      </c>
      <c r="N487" t="str">
        <f t="shared" si="22"/>
        <v>Robusta</v>
      </c>
      <c r="O487" t="str">
        <f t="shared" si="23"/>
        <v>Light</v>
      </c>
      <c r="P487" t="str">
        <f>_xlfn.XLOOKUP(Table1[[#This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IF(_xlfn.XLOOKUP(C488,customers!$A$1:$A$1001,customers!C487:C1487,,0)=0,"",_xlfn.XLOOKUP(C488,customers!$A$1:$A$1001,customers!C487:C1487,,0))</f>
        <v/>
      </c>
      <c r="H488" s="2" t="str">
        <f>_xlfn.XLOOKUP(orders!C488,customers!$A$1:$A$1001,customers!$G$1:$G$1001,,0)</f>
        <v>Ireland</v>
      </c>
      <c r="I488" t="str">
        <f>INDEX(products!$A$1:$G$49,MATCH(orders!$D488, products!$A$1:$A$49,0), MATCH(orders!I$1,products!$A$1:$G$1,0))</f>
        <v>Lib</v>
      </c>
      <c r="J488" t="str">
        <f>INDEX(products!$A$1:$G$49,MATCH(orders!$D488, products!$A$1:$A$49,0), MATCH(orders!J$1,products!$A$1:$G$1,0))</f>
        <v>M</v>
      </c>
      <c r="K488" s="4">
        <f>INDEX(products!$A$1:$G$49,MATCH(orders!$D488, products!$A$1:$A$49,0), MATCH(orders!K$1,products!$A$1:$G$1,0))</f>
        <v>0.5</v>
      </c>
      <c r="L488" s="5">
        <f>INDEX(products!$A$1:$G$49,MATCH(orders!$D488, products!$A$1:$A$49,0), MATCH(orders!L$1,products!$A$1:$G$1,0))</f>
        <v>8.73</v>
      </c>
      <c r="M488" s="5">
        <f t="shared" si="21"/>
        <v>52.38</v>
      </c>
      <c r="N488" t="str">
        <f t="shared" si="22"/>
        <v>Liberica</v>
      </c>
      <c r="O488" t="str">
        <f t="shared" si="23"/>
        <v>Medium</v>
      </c>
      <c r="P488" t="str">
        <f>_xlfn.XLOOKUP(Table1[[#This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IF(_xlfn.XLOOKUP(C489,customers!$A$1:$A$1001,customers!C488:C1488,,0)=0,"",_xlfn.XLOOKUP(C489,customers!$A$1:$A$1001,customers!C488:C1488,,0))</f>
        <v>sroseboroughr2@virginia.edu</v>
      </c>
      <c r="H489" s="2" t="str">
        <f>_xlfn.XLOOKUP(orders!C489,customers!$A$1:$A$1001,customers!$G$1:$G$1001,,0)</f>
        <v>Ireland</v>
      </c>
      <c r="I489" t="str">
        <f>INDEX(products!$A$1:$G$49,MATCH(orders!$D489, products!$A$1:$A$49,0), MATCH(orders!I$1,products!$A$1:$G$1,0))</f>
        <v>Exc</v>
      </c>
      <c r="J489" t="str">
        <f>INDEX(products!$A$1:$G$49,MATCH(orders!$D489, products!$A$1:$A$49,0), MATCH(orders!J$1,products!$A$1:$G$1,0))</f>
        <v>D</v>
      </c>
      <c r="K489" s="4">
        <f>INDEX(products!$A$1:$G$49,MATCH(orders!$D489, products!$A$1:$A$49,0), MATCH(orders!K$1,products!$A$1:$G$1,0))</f>
        <v>1</v>
      </c>
      <c r="L489" s="5">
        <f>INDEX(products!$A$1:$G$49,MATCH(orders!$D489, products!$A$1:$A$49,0), MATCH(orders!L$1,products!$A$1:$G$1,0))</f>
        <v>12.15</v>
      </c>
      <c r="M489" s="5">
        <f t="shared" si="21"/>
        <v>72.900000000000006</v>
      </c>
      <c r="N489" t="str">
        <f t="shared" si="22"/>
        <v>Excelsa</v>
      </c>
      <c r="O489" t="str">
        <f t="shared" si="23"/>
        <v>Dark</v>
      </c>
      <c r="P489" t="str">
        <f>_xlfn.XLOOKUP(Table1[[#This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IF(_xlfn.XLOOKUP(C490,customers!$A$1:$A$1001,customers!C489:C1489,,0)=0,"",_xlfn.XLOOKUP(C490,customers!$A$1:$A$1001,customers!C489:C1489,,0))</f>
        <v>kcantor4@gmpg.org</v>
      </c>
      <c r="H490" s="2" t="str">
        <f>_xlfn.XLOOKUP(orders!C490,customers!$A$1:$A$1001,customers!$G$1:$G$1001,,0)</f>
        <v>Ireland</v>
      </c>
      <c r="I490" t="str">
        <f>INDEX(products!$A$1:$G$49,MATCH(orders!$D490, products!$A$1:$A$49,0), MATCH(orders!I$1,products!$A$1:$G$1,0))</f>
        <v>Rob</v>
      </c>
      <c r="J490" t="str">
        <f>INDEX(products!$A$1:$G$49,MATCH(orders!$D490, products!$A$1:$A$49,0), MATCH(orders!J$1,products!$A$1:$G$1,0))</f>
        <v>M</v>
      </c>
      <c r="K490" s="4">
        <f>INDEX(products!$A$1:$G$49,MATCH(orders!$D490, products!$A$1:$A$49,0), MATCH(orders!K$1,products!$A$1:$G$1,0))</f>
        <v>0.2</v>
      </c>
      <c r="L490" s="5">
        <f>INDEX(products!$A$1:$G$49,MATCH(orders!$D490, products!$A$1:$A$49,0), MATCH(orders!L$1,products!$A$1:$G$1,0))</f>
        <v>2.9849999999999999</v>
      </c>
      <c r="M490" s="5">
        <f t="shared" si="21"/>
        <v>14.924999999999999</v>
      </c>
      <c r="N490" t="str">
        <f t="shared" si="22"/>
        <v>Robusta</v>
      </c>
      <c r="O490" t="str">
        <f t="shared" si="23"/>
        <v>Medium</v>
      </c>
      <c r="P490" t="str">
        <f>_xlfn.XLOOKUP(Table1[[#This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IF(_xlfn.XLOOKUP(C491,customers!$A$1:$A$1001,customers!C490:C1490,,0)=0,"",_xlfn.XLOOKUP(C491,customers!$A$1:$A$1001,customers!C490:C1490,,0))</f>
        <v>dgooderridger6@lycos.com</v>
      </c>
      <c r="H491" s="2" t="str">
        <f>_xlfn.XLOOKUP(orders!C491,customers!$A$1:$A$1001,customers!$G$1:$G$1001,,0)</f>
        <v>United States</v>
      </c>
      <c r="I491" t="str">
        <f>INDEX(products!$A$1:$G$49,MATCH(orders!$D491, products!$A$1:$A$49,0), MATCH(orders!I$1,products!$A$1:$G$1,0))</f>
        <v>Lib</v>
      </c>
      <c r="J491" t="str">
        <f>INDEX(products!$A$1:$G$49,MATCH(orders!$D491, products!$A$1:$A$49,0), MATCH(orders!J$1,products!$A$1:$G$1,0))</f>
        <v>L</v>
      </c>
      <c r="K491" s="4">
        <f>INDEX(products!$A$1:$G$49,MATCH(orders!$D491, products!$A$1:$A$49,0), MATCH(orders!K$1,products!$A$1:$G$1,0))</f>
        <v>1</v>
      </c>
      <c r="L491" s="5">
        <f>INDEX(products!$A$1:$G$49,MATCH(orders!$D491, products!$A$1:$A$49,0), MATCH(orders!L$1,products!$A$1:$G$1,0))</f>
        <v>15.85</v>
      </c>
      <c r="M491" s="5">
        <f t="shared" si="21"/>
        <v>95.1</v>
      </c>
      <c r="N491" t="str">
        <f t="shared" si="22"/>
        <v>Liberica</v>
      </c>
      <c r="O491" t="str">
        <f t="shared" si="23"/>
        <v>Light</v>
      </c>
      <c r="P491" t="str">
        <f>_xlfn.XLOOKUP(Table1[[#This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IF(_xlfn.XLOOKUP(C492,customers!$A$1:$A$1001,customers!C491:C1491,,0)=0,"",_xlfn.XLOOKUP(C492,customers!$A$1:$A$1001,customers!C491:C1491,,0))</f>
        <v/>
      </c>
      <c r="H492" s="2" t="str">
        <f>_xlfn.XLOOKUP(orders!C492,customers!$A$1:$A$1001,customers!$G$1:$G$1001,,0)</f>
        <v>United States</v>
      </c>
      <c r="I492" t="str">
        <f>INDEX(products!$A$1:$G$49,MATCH(orders!$D492, products!$A$1:$A$49,0), MATCH(orders!I$1,products!$A$1:$G$1,0))</f>
        <v>Lib</v>
      </c>
      <c r="J492" t="str">
        <f>INDEX(products!$A$1:$G$49,MATCH(orders!$D492, products!$A$1:$A$49,0), MATCH(orders!J$1,products!$A$1:$G$1,0))</f>
        <v>D</v>
      </c>
      <c r="K492" s="4">
        <f>INDEX(products!$A$1:$G$49,MATCH(orders!$D492, products!$A$1:$A$49,0), MATCH(orders!K$1,products!$A$1:$G$1,0))</f>
        <v>0.5</v>
      </c>
      <c r="L492" s="5">
        <f>INDEX(products!$A$1:$G$49,MATCH(orders!$D492, products!$A$1:$A$49,0), MATCH(orders!L$1,products!$A$1:$G$1,0))</f>
        <v>7.77</v>
      </c>
      <c r="M492" s="5">
        <f t="shared" si="21"/>
        <v>15.54</v>
      </c>
      <c r="N492" t="str">
        <f t="shared" si="22"/>
        <v>Liberica</v>
      </c>
      <c r="O492" t="str">
        <f t="shared" si="23"/>
        <v>Dark</v>
      </c>
      <c r="P492" t="str">
        <f>_xlfn.XLOOKUP(Table1[[#This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IF(_xlfn.XLOOKUP(C493,customers!$A$1:$A$1001,customers!C492:C1492,,0)=0,"",_xlfn.XLOOKUP(C493,customers!$A$1:$A$1001,customers!C492:C1492,,0))</f>
        <v>kkemeryra@t.co</v>
      </c>
      <c r="H493" s="2" t="str">
        <f>_xlfn.XLOOKUP(orders!C493,customers!$A$1:$A$1001,customers!$G$1:$G$1001,,0)</f>
        <v>United States</v>
      </c>
      <c r="I493" t="str">
        <f>INDEX(products!$A$1:$G$49,MATCH(orders!$D493, products!$A$1:$A$49,0), MATCH(orders!I$1,products!$A$1:$G$1,0))</f>
        <v>Lib</v>
      </c>
      <c r="J493" t="str">
        <f>INDEX(products!$A$1:$G$49,MATCH(orders!$D493, products!$A$1:$A$49,0), MATCH(orders!J$1,products!$A$1:$G$1,0))</f>
        <v>D</v>
      </c>
      <c r="K493" s="4">
        <f>INDEX(products!$A$1:$G$49,MATCH(orders!$D493, products!$A$1:$A$49,0), MATCH(orders!K$1,products!$A$1:$G$1,0))</f>
        <v>0.2</v>
      </c>
      <c r="L493" s="5">
        <f>INDEX(products!$A$1:$G$49,MATCH(orders!$D493, products!$A$1:$A$49,0), MATCH(orders!L$1,products!$A$1:$G$1,0))</f>
        <v>3.8849999999999998</v>
      </c>
      <c r="M493" s="5">
        <f t="shared" si="21"/>
        <v>23.31</v>
      </c>
      <c r="N493" t="str">
        <f t="shared" si="22"/>
        <v>Liberica</v>
      </c>
      <c r="O493" t="str">
        <f t="shared" si="23"/>
        <v>Dark</v>
      </c>
      <c r="P493" t="str">
        <f>_xlfn.XLOOKUP(Table1[[#This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IF(_xlfn.XLOOKUP(C494,customers!$A$1:$A$1001,customers!C493:C1493,,0)=0,"",_xlfn.XLOOKUP(C494,customers!$A$1:$A$1001,customers!C493:C1493,,0))</f>
        <v>rcheakrc@tripadvisor.com</v>
      </c>
      <c r="H494" s="2" t="str">
        <f>_xlfn.XLOOKUP(orders!C494,customers!$A$1:$A$1001,customers!$G$1:$G$1001,,0)</f>
        <v>United States</v>
      </c>
      <c r="I494" t="str">
        <f>INDEX(products!$A$1:$G$49,MATCH(orders!$D494, products!$A$1:$A$49,0), MATCH(orders!I$1,products!$A$1:$G$1,0))</f>
        <v>Exc</v>
      </c>
      <c r="J494" t="str">
        <f>INDEX(products!$A$1:$G$49,MATCH(orders!$D494, products!$A$1:$A$49,0), MATCH(orders!J$1,products!$A$1:$G$1,0))</f>
        <v>M</v>
      </c>
      <c r="K494" s="4">
        <f>INDEX(products!$A$1:$G$49,MATCH(orders!$D494, products!$A$1:$A$49,0), MATCH(orders!K$1,products!$A$1:$G$1,0))</f>
        <v>0.2</v>
      </c>
      <c r="L494" s="5">
        <f>INDEX(products!$A$1:$G$49,MATCH(orders!$D494, products!$A$1:$A$49,0), MATCH(orders!L$1,products!$A$1:$G$1,0))</f>
        <v>4.125</v>
      </c>
      <c r="M494" s="5">
        <f t="shared" si="21"/>
        <v>4.125</v>
      </c>
      <c r="N494" t="str">
        <f t="shared" si="22"/>
        <v>Excelsa</v>
      </c>
      <c r="O494" t="str">
        <f t="shared" si="23"/>
        <v>Medium</v>
      </c>
      <c r="P494" t="str">
        <f>_xlfn.XLOOKUP(Table1[[#This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IF(_xlfn.XLOOKUP(C495,customers!$A$1:$A$1001,customers!C494:C1494,,0)=0,"",_xlfn.XLOOKUP(C495,customers!$A$1:$A$1001,customers!C494:C1494,,0))</f>
        <v>cayrere@symantec.com</v>
      </c>
      <c r="H495" s="2" t="str">
        <f>_xlfn.XLOOKUP(orders!C495,customers!$A$1:$A$1001,customers!$G$1:$G$1001,,0)</f>
        <v>United Kingdom</v>
      </c>
      <c r="I495" t="str">
        <f>INDEX(products!$A$1:$G$49,MATCH(orders!$D495, products!$A$1:$A$49,0), MATCH(orders!I$1,products!$A$1:$G$1,0))</f>
        <v>Rob</v>
      </c>
      <c r="J495" t="str">
        <f>INDEX(products!$A$1:$G$49,MATCH(orders!$D495, products!$A$1:$A$49,0), MATCH(orders!J$1,products!$A$1:$G$1,0))</f>
        <v>M</v>
      </c>
      <c r="K495" s="4">
        <f>INDEX(products!$A$1:$G$49,MATCH(orders!$D495, products!$A$1:$A$49,0), MATCH(orders!K$1,products!$A$1:$G$1,0))</f>
        <v>0.5</v>
      </c>
      <c r="L495" s="5">
        <f>INDEX(products!$A$1:$G$49,MATCH(orders!$D495, products!$A$1:$A$49,0), MATCH(orders!L$1,products!$A$1:$G$1,0))</f>
        <v>5.97</v>
      </c>
      <c r="M495" s="5">
        <f t="shared" si="21"/>
        <v>35.82</v>
      </c>
      <c r="N495" t="str">
        <f t="shared" si="22"/>
        <v>Robusta</v>
      </c>
      <c r="O495" t="str">
        <f t="shared" si="23"/>
        <v>Medium</v>
      </c>
      <c r="P495" t="str">
        <f>_xlfn.XLOOKUP(Table1[[#This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IF(_xlfn.XLOOKUP(C496,customers!$A$1:$A$1001,customers!C495:C1495,,0)=0,"",_xlfn.XLOOKUP(C496,customers!$A$1:$A$1001,customers!C495:C1495,,0))</f>
        <v/>
      </c>
      <c r="H496" s="2" t="str">
        <f>_xlfn.XLOOKUP(orders!C496,customers!$A$1:$A$1001,customers!$G$1:$G$1001,,0)</f>
        <v>United States</v>
      </c>
      <c r="I496" t="str">
        <f>INDEX(products!$A$1:$G$49,MATCH(orders!$D496, products!$A$1:$A$49,0), MATCH(orders!I$1,products!$A$1:$G$1,0))</f>
        <v>Lib</v>
      </c>
      <c r="J496" t="str">
        <f>INDEX(products!$A$1:$G$49,MATCH(orders!$D496, products!$A$1:$A$49,0), MATCH(orders!J$1,products!$A$1:$G$1,0))</f>
        <v>L</v>
      </c>
      <c r="K496" s="4">
        <f>INDEX(products!$A$1:$G$49,MATCH(orders!$D496, products!$A$1:$A$49,0), MATCH(orders!K$1,products!$A$1:$G$1,0))</f>
        <v>1</v>
      </c>
      <c r="L496" s="5">
        <f>INDEX(products!$A$1:$G$49,MATCH(orders!$D496, products!$A$1:$A$49,0), MATCH(orders!L$1,products!$A$1:$G$1,0))</f>
        <v>15.85</v>
      </c>
      <c r="M496" s="5">
        <f t="shared" si="21"/>
        <v>31.7</v>
      </c>
      <c r="N496" t="str">
        <f t="shared" si="22"/>
        <v>Liberica</v>
      </c>
      <c r="O496" t="str">
        <f t="shared" si="23"/>
        <v>Light</v>
      </c>
      <c r="P496" t="str">
        <f>_xlfn.XLOOKUP(Table1[[#This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IF(_xlfn.XLOOKUP(C497,customers!$A$1:$A$1001,customers!C496:C1496,,0)=0,"",_xlfn.XLOOKUP(C497,customers!$A$1:$A$1001,customers!C496:C1496,,0))</f>
        <v>dscrigmourri@cnbc.com</v>
      </c>
      <c r="H497" s="2" t="str">
        <f>_xlfn.XLOOKUP(orders!C497,customers!$A$1:$A$1001,customers!$G$1:$G$1001,,0)</f>
        <v>United States</v>
      </c>
      <c r="I497" t="str">
        <f>INDEX(products!$A$1:$G$49,MATCH(orders!$D497, products!$A$1:$A$49,0), MATCH(orders!I$1,products!$A$1:$G$1,0))</f>
        <v>Lib</v>
      </c>
      <c r="J497" t="str">
        <f>INDEX(products!$A$1:$G$49,MATCH(orders!$D497, products!$A$1:$A$49,0), MATCH(orders!J$1,products!$A$1:$G$1,0))</f>
        <v>L</v>
      </c>
      <c r="K497" s="4">
        <f>INDEX(products!$A$1:$G$49,MATCH(orders!$D497, products!$A$1:$A$49,0), MATCH(orders!K$1,products!$A$1:$G$1,0))</f>
        <v>1</v>
      </c>
      <c r="L497" s="5">
        <f>INDEX(products!$A$1:$G$49,MATCH(orders!$D497, products!$A$1:$A$49,0), MATCH(orders!L$1,products!$A$1:$G$1,0))</f>
        <v>15.85</v>
      </c>
      <c r="M497" s="5">
        <f t="shared" si="21"/>
        <v>79.25</v>
      </c>
      <c r="N497" t="str">
        <f t="shared" si="22"/>
        <v>Liberica</v>
      </c>
      <c r="O497" t="str">
        <f t="shared" si="23"/>
        <v>Light</v>
      </c>
      <c r="P497" t="str">
        <f>_xlfn.XLOOKUP(Table1[[#This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IF(_xlfn.XLOOKUP(C498,customers!$A$1:$A$1001,customers!C497:C1497,,0)=0,"",_xlfn.XLOOKUP(C498,customers!$A$1:$A$1001,customers!C497:C1497,,0))</f>
        <v/>
      </c>
      <c r="H498" s="2" t="str">
        <f>_xlfn.XLOOKUP(orders!C498,customers!$A$1:$A$1001,customers!$G$1:$G$1001,,0)</f>
        <v>United States</v>
      </c>
      <c r="I498" t="str">
        <f>INDEX(products!$A$1:$G$49,MATCH(orders!$D498, products!$A$1:$A$49,0), MATCH(orders!I$1,products!$A$1:$G$1,0))</f>
        <v>Exc</v>
      </c>
      <c r="J498" t="str">
        <f>INDEX(products!$A$1:$G$49,MATCH(orders!$D498, products!$A$1:$A$49,0), MATCH(orders!J$1,products!$A$1:$G$1,0))</f>
        <v>D</v>
      </c>
      <c r="K498" s="4">
        <f>INDEX(products!$A$1:$G$49,MATCH(orders!$D498, products!$A$1:$A$49,0), MATCH(orders!K$1,products!$A$1:$G$1,0))</f>
        <v>0.2</v>
      </c>
      <c r="L498" s="5">
        <f>INDEX(products!$A$1:$G$49,MATCH(orders!$D498, products!$A$1:$A$49,0), MATCH(orders!L$1,products!$A$1:$G$1,0))</f>
        <v>3.645</v>
      </c>
      <c r="M498" s="5">
        <f t="shared" si="21"/>
        <v>10.935</v>
      </c>
      <c r="N498" t="str">
        <f t="shared" si="22"/>
        <v>Excelsa</v>
      </c>
      <c r="O498" t="str">
        <f t="shared" si="23"/>
        <v>Dark</v>
      </c>
      <c r="P498" t="str">
        <f>_xlfn.XLOOKUP(Table1[[#This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IF(_xlfn.XLOOKUP(C499,customers!$A$1:$A$1001,customers!C498:C1498,,0)=0,"",_xlfn.XLOOKUP(C499,customers!$A$1:$A$1001,customers!C498:C1498,,0))</f>
        <v/>
      </c>
      <c r="H499" s="2" t="str">
        <f>_xlfn.XLOOKUP(orders!C499,customers!$A$1:$A$1001,customers!$G$1:$G$1001,,0)</f>
        <v>Ireland</v>
      </c>
      <c r="I499" t="str">
        <f>INDEX(products!$A$1:$G$49,MATCH(orders!$D499, products!$A$1:$A$49,0), MATCH(orders!I$1,products!$A$1:$G$1,0))</f>
        <v>Ara</v>
      </c>
      <c r="J499" t="str">
        <f>INDEX(products!$A$1:$G$49,MATCH(orders!$D499, products!$A$1:$A$49,0), MATCH(orders!J$1,products!$A$1:$G$1,0))</f>
        <v>D</v>
      </c>
      <c r="K499" s="4">
        <f>INDEX(products!$A$1:$G$49,MATCH(orders!$D499, products!$A$1:$A$49,0), MATCH(orders!K$1,products!$A$1:$G$1,0))</f>
        <v>1</v>
      </c>
      <c r="L499" s="5">
        <f>INDEX(products!$A$1:$G$49,MATCH(orders!$D499, products!$A$1:$A$49,0), MATCH(orders!L$1,products!$A$1:$G$1,0))</f>
        <v>9.9499999999999993</v>
      </c>
      <c r="M499" s="5">
        <f t="shared" si="21"/>
        <v>39.799999999999997</v>
      </c>
      <c r="N499" t="str">
        <f t="shared" si="22"/>
        <v>Arabica</v>
      </c>
      <c r="O499" t="str">
        <f t="shared" si="23"/>
        <v>Dark</v>
      </c>
      <c r="P499" t="str">
        <f>_xlfn.XLOOKUP(Table1[[#This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IF(_xlfn.XLOOKUP(C500,customers!$A$1:$A$1001,customers!C499:C1499,,0)=0,"",_xlfn.XLOOKUP(C500,customers!$A$1:$A$1001,customers!C499:C1499,,0))</f>
        <v/>
      </c>
      <c r="H500" s="2" t="str">
        <f>_xlfn.XLOOKUP(orders!C500,customers!$A$1:$A$1001,customers!$G$1:$G$1001,,0)</f>
        <v>Ireland</v>
      </c>
      <c r="I500" t="str">
        <f>INDEX(products!$A$1:$G$49,MATCH(orders!$D500, products!$A$1:$A$49,0), MATCH(orders!I$1,products!$A$1:$G$1,0))</f>
        <v>Rob</v>
      </c>
      <c r="J500" t="str">
        <f>INDEX(products!$A$1:$G$49,MATCH(orders!$D500, products!$A$1:$A$49,0), MATCH(orders!J$1,products!$A$1:$G$1,0))</f>
        <v>M</v>
      </c>
      <c r="K500" s="4">
        <f>INDEX(products!$A$1:$G$49,MATCH(orders!$D500, products!$A$1:$A$49,0), MATCH(orders!K$1,products!$A$1:$G$1,0))</f>
        <v>1</v>
      </c>
      <c r="L500" s="5">
        <f>INDEX(products!$A$1:$G$49,MATCH(orders!$D500, products!$A$1:$A$49,0), MATCH(orders!L$1,products!$A$1:$G$1,0))</f>
        <v>9.9499999999999993</v>
      </c>
      <c r="M500" s="5">
        <f t="shared" si="21"/>
        <v>49.75</v>
      </c>
      <c r="N500" t="str">
        <f t="shared" si="22"/>
        <v>Robusta</v>
      </c>
      <c r="O500" t="str">
        <f t="shared" si="23"/>
        <v>Medium</v>
      </c>
      <c r="P500" t="str">
        <f>_xlfn.XLOOKUP(Table1[[#This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IF(_xlfn.XLOOKUP(C501,customers!$A$1:$A$1001,customers!C500:C1500,,0)=0,"",_xlfn.XLOOKUP(C501,customers!$A$1:$A$1001,customers!C500:C1500,,0))</f>
        <v>njennyrq@bigcartel.com</v>
      </c>
      <c r="H501" s="2" t="str">
        <f>_xlfn.XLOOKUP(orders!C501,customers!$A$1:$A$1001,customers!$G$1:$G$1001,,0)</f>
        <v>Ireland</v>
      </c>
      <c r="I501" t="str">
        <f>INDEX(products!$A$1:$G$49,MATCH(orders!$D501, products!$A$1:$A$49,0), MATCH(orders!I$1,products!$A$1:$G$1,0))</f>
        <v>Rob</v>
      </c>
      <c r="J501" t="str">
        <f>INDEX(products!$A$1:$G$49,MATCH(orders!$D501, products!$A$1:$A$49,0), MATCH(orders!J$1,products!$A$1:$G$1,0))</f>
        <v>D</v>
      </c>
      <c r="K501" s="4">
        <f>INDEX(products!$A$1:$G$49,MATCH(orders!$D501, products!$A$1:$A$49,0), MATCH(orders!K$1,products!$A$1:$G$1,0))</f>
        <v>0.2</v>
      </c>
      <c r="L501" s="5">
        <f>INDEX(products!$A$1:$G$49,MATCH(orders!$D501, products!$A$1:$A$49,0), MATCH(orders!L$1,products!$A$1:$G$1,0))</f>
        <v>2.6849999999999996</v>
      </c>
      <c r="M501" s="5">
        <f t="shared" si="21"/>
        <v>8.0549999999999997</v>
      </c>
      <c r="N501" t="str">
        <f t="shared" si="22"/>
        <v>Robusta</v>
      </c>
      <c r="O501" t="str">
        <f t="shared" si="23"/>
        <v>Dark</v>
      </c>
      <c r="P501" t="str">
        <f>_xlfn.XLOOKUP(Table1[[#This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IF(_xlfn.XLOOKUP(C502,customers!$A$1:$A$1001,customers!C501:C1501,,0)=0,"",_xlfn.XLOOKUP(C502,customers!$A$1:$A$1001,customers!C501:C1501,,0))</f>
        <v/>
      </c>
      <c r="H502" s="2" t="str">
        <f>_xlfn.XLOOKUP(orders!C502,customers!$A$1:$A$1001,customers!$G$1:$G$1001,,0)</f>
        <v>United States</v>
      </c>
      <c r="I502" t="str">
        <f>INDEX(products!$A$1:$G$49,MATCH(orders!$D502, products!$A$1:$A$49,0), MATCH(orders!I$1,products!$A$1:$G$1,0))</f>
        <v>Rob</v>
      </c>
      <c r="J502" t="str">
        <f>INDEX(products!$A$1:$G$49,MATCH(orders!$D502, products!$A$1:$A$49,0), MATCH(orders!J$1,products!$A$1:$G$1,0))</f>
        <v>L</v>
      </c>
      <c r="K502" s="4">
        <f>INDEX(products!$A$1:$G$49,MATCH(orders!$D502, products!$A$1:$A$49,0), MATCH(orders!K$1,products!$A$1:$G$1,0))</f>
        <v>1</v>
      </c>
      <c r="L502" s="5">
        <f>INDEX(products!$A$1:$G$49,MATCH(orders!$D502, products!$A$1:$A$49,0), MATCH(orders!L$1,products!$A$1:$G$1,0))</f>
        <v>11.95</v>
      </c>
      <c r="M502" s="5">
        <f t="shared" si="21"/>
        <v>47.8</v>
      </c>
      <c r="N502" t="str">
        <f t="shared" si="22"/>
        <v>Robusta</v>
      </c>
      <c r="O502" t="str">
        <f t="shared" si="23"/>
        <v>Light</v>
      </c>
      <c r="P502" t="str">
        <f>_xlfn.XLOOKUP(Table1[[#This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IF(_xlfn.XLOOKUP(C503,customers!$A$1:$A$1001,customers!C502:C1502,,0)=0,"",_xlfn.XLOOKUP(C503,customers!$A$1:$A$1001,customers!C502:C1502,,0))</f>
        <v/>
      </c>
      <c r="H503" s="2" t="str">
        <f>_xlfn.XLOOKUP(orders!C503,customers!$A$1:$A$1001,customers!$G$1:$G$1001,,0)</f>
        <v>United Kingdom</v>
      </c>
      <c r="I503" t="str">
        <f>INDEX(products!$A$1:$G$49,MATCH(orders!$D503, products!$A$1:$A$49,0), MATCH(orders!I$1,products!$A$1:$G$1,0))</f>
        <v>Rob</v>
      </c>
      <c r="J503" t="str">
        <f>INDEX(products!$A$1:$G$49,MATCH(orders!$D503, products!$A$1:$A$49,0), MATCH(orders!J$1,products!$A$1:$G$1,0))</f>
        <v>M</v>
      </c>
      <c r="K503" s="4">
        <f>INDEX(products!$A$1:$G$49,MATCH(orders!$D503, products!$A$1:$A$49,0), MATCH(orders!K$1,products!$A$1:$G$1,0))</f>
        <v>0.2</v>
      </c>
      <c r="L503" s="5">
        <f>INDEX(products!$A$1:$G$49,MATCH(orders!$D503, products!$A$1:$A$49,0), MATCH(orders!L$1,products!$A$1:$G$1,0))</f>
        <v>2.9849999999999999</v>
      </c>
      <c r="M503" s="5">
        <f t="shared" si="21"/>
        <v>11.94</v>
      </c>
      <c r="N503" t="str">
        <f t="shared" si="22"/>
        <v>Robusta</v>
      </c>
      <c r="O503" t="str">
        <f t="shared" si="23"/>
        <v>Medium</v>
      </c>
      <c r="P503" t="str">
        <f>_xlfn.XLOOKUP(Table1[[#This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IF(_xlfn.XLOOKUP(C504,customers!$A$1:$A$1001,customers!C503:C1503,,0)=0,"",_xlfn.XLOOKUP(C504,customers!$A$1:$A$1001,customers!C503:C1503,,0))</f>
        <v/>
      </c>
      <c r="H504" s="2" t="str">
        <f>_xlfn.XLOOKUP(orders!C504,customers!$A$1:$A$1001,customers!$G$1:$G$1001,,0)</f>
        <v>United Kingdom</v>
      </c>
      <c r="I504" t="str">
        <f>INDEX(products!$A$1:$G$49,MATCH(orders!$D504, products!$A$1:$A$49,0), MATCH(orders!I$1,products!$A$1:$G$1,0))</f>
        <v>Exc</v>
      </c>
      <c r="J504" t="str">
        <f>INDEX(products!$A$1:$G$49,MATCH(orders!$D504, products!$A$1:$A$49,0), MATCH(orders!J$1,products!$A$1:$G$1,0))</f>
        <v>M</v>
      </c>
      <c r="K504" s="4">
        <f>INDEX(products!$A$1:$G$49,MATCH(orders!$D504, products!$A$1:$A$49,0), MATCH(orders!K$1,products!$A$1:$G$1,0))</f>
        <v>0.2</v>
      </c>
      <c r="L504" s="5">
        <f>INDEX(products!$A$1:$G$49,MATCH(orders!$D504, products!$A$1:$A$49,0), MATCH(orders!L$1,products!$A$1:$G$1,0))</f>
        <v>4.125</v>
      </c>
      <c r="M504" s="5">
        <f t="shared" si="21"/>
        <v>16.5</v>
      </c>
      <c r="N504" t="str">
        <f t="shared" si="22"/>
        <v>Excelsa</v>
      </c>
      <c r="O504" t="str">
        <f t="shared" si="23"/>
        <v>Medium</v>
      </c>
      <c r="P504" t="str">
        <f>_xlfn.XLOOKUP(Table1[[#This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IF(_xlfn.XLOOKUP(C505,customers!$A$1:$A$1001,customers!C504:C1504,,0)=0,"",_xlfn.XLOOKUP(C505,customers!$A$1:$A$1001,customers!C504:C1504,,0))</f>
        <v/>
      </c>
      <c r="H505" s="2" t="str">
        <f>_xlfn.XLOOKUP(orders!C505,customers!$A$1:$A$1001,customers!$G$1:$G$1001,,0)</f>
        <v>United Kingdom</v>
      </c>
      <c r="I505" t="str">
        <f>INDEX(products!$A$1:$G$49,MATCH(orders!$D505, products!$A$1:$A$49,0), MATCH(orders!I$1,products!$A$1:$G$1,0))</f>
        <v>Lib</v>
      </c>
      <c r="J505" t="str">
        <f>INDEX(products!$A$1:$G$49,MATCH(orders!$D505, products!$A$1:$A$49,0), MATCH(orders!J$1,products!$A$1:$G$1,0))</f>
        <v>D</v>
      </c>
      <c r="K505" s="4">
        <f>INDEX(products!$A$1:$G$49,MATCH(orders!$D505, products!$A$1:$A$49,0), MATCH(orders!K$1,products!$A$1:$G$1,0))</f>
        <v>1</v>
      </c>
      <c r="L505" s="5">
        <f>INDEX(products!$A$1:$G$49,MATCH(orders!$D505, products!$A$1:$A$49,0), MATCH(orders!L$1,products!$A$1:$G$1,0))</f>
        <v>12.95</v>
      </c>
      <c r="M505" s="5">
        <f t="shared" si="21"/>
        <v>51.8</v>
      </c>
      <c r="N505" t="str">
        <f t="shared" si="22"/>
        <v>Liberica</v>
      </c>
      <c r="O505" t="str">
        <f t="shared" si="23"/>
        <v>Dark</v>
      </c>
      <c r="P505" t="str">
        <f>_xlfn.XLOOKUP(Table1[[#This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IF(_xlfn.XLOOKUP(C506,customers!$A$1:$A$1001,customers!C505:C1505,,0)=0,"",_xlfn.XLOOKUP(C506,customers!$A$1:$A$1001,customers!C505:C1505,,0))</f>
        <v/>
      </c>
      <c r="H506" s="2" t="str">
        <f>_xlfn.XLOOKUP(orders!C506,customers!$A$1:$A$1001,customers!$G$1:$G$1001,,0)</f>
        <v>United Kingdom</v>
      </c>
      <c r="I506" t="str">
        <f>INDEX(products!$A$1:$G$49,MATCH(orders!$D506, products!$A$1:$A$49,0), MATCH(orders!I$1,products!$A$1:$G$1,0))</f>
        <v>Lib</v>
      </c>
      <c r="J506" t="str">
        <f>INDEX(products!$A$1:$G$49,MATCH(orders!$D506, products!$A$1:$A$49,0), MATCH(orders!J$1,products!$A$1:$G$1,0))</f>
        <v>L</v>
      </c>
      <c r="K506" s="4">
        <f>INDEX(products!$A$1:$G$49,MATCH(orders!$D506, products!$A$1:$A$49,0), MATCH(orders!K$1,products!$A$1:$G$1,0))</f>
        <v>0.2</v>
      </c>
      <c r="L506" s="5">
        <f>INDEX(products!$A$1:$G$49,MATCH(orders!$D506, products!$A$1:$A$49,0), MATCH(orders!L$1,products!$A$1:$G$1,0))</f>
        <v>4.7549999999999999</v>
      </c>
      <c r="M506" s="5">
        <f t="shared" si="21"/>
        <v>14.265000000000001</v>
      </c>
      <c r="N506" t="str">
        <f t="shared" si="22"/>
        <v>Liberica</v>
      </c>
      <c r="O506" t="str">
        <f t="shared" si="23"/>
        <v>Light</v>
      </c>
      <c r="P506" t="str">
        <f>_xlfn.XLOOKUP(Table1[[#This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IF(_xlfn.XLOOKUP(C507,customers!$A$1:$A$1001,customers!C506:C1506,,0)=0,"",_xlfn.XLOOKUP(C507,customers!$A$1:$A$1001,customers!C506:C1506,,0))</f>
        <v/>
      </c>
      <c r="H507" s="2" t="str">
        <f>_xlfn.XLOOKUP(orders!C507,customers!$A$1:$A$1001,customers!$G$1:$G$1001,,0)</f>
        <v>United States</v>
      </c>
      <c r="I507" t="str">
        <f>INDEX(products!$A$1:$G$49,MATCH(orders!$D507, products!$A$1:$A$49,0), MATCH(orders!I$1,products!$A$1:$G$1,0))</f>
        <v>Lib</v>
      </c>
      <c r="J507" t="str">
        <f>INDEX(products!$A$1:$G$49,MATCH(orders!$D507, products!$A$1:$A$49,0), MATCH(orders!J$1,products!$A$1:$G$1,0))</f>
        <v>M</v>
      </c>
      <c r="K507" s="4">
        <f>INDEX(products!$A$1:$G$49,MATCH(orders!$D507, products!$A$1:$A$49,0), MATCH(orders!K$1,products!$A$1:$G$1,0))</f>
        <v>0.2</v>
      </c>
      <c r="L507" s="5">
        <f>INDEX(products!$A$1:$G$49,MATCH(orders!$D507, products!$A$1:$A$49,0), MATCH(orders!L$1,products!$A$1:$G$1,0))</f>
        <v>4.3650000000000002</v>
      </c>
      <c r="M507" s="5">
        <f t="shared" si="21"/>
        <v>26.19</v>
      </c>
      <c r="N507" t="str">
        <f t="shared" si="22"/>
        <v>Liberica</v>
      </c>
      <c r="O507" t="str">
        <f t="shared" si="23"/>
        <v>Medium</v>
      </c>
      <c r="P507" t="str">
        <f>_xlfn.XLOOKUP(Table1[[#This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IF(_xlfn.XLOOKUP(C508,customers!$A$1:$A$1001,customers!C507:C1507,,0)=0,"",_xlfn.XLOOKUP(C508,customers!$A$1:$A$1001,customers!C507:C1507,,0))</f>
        <v/>
      </c>
      <c r="H508" s="2" t="str">
        <f>_xlfn.XLOOKUP(orders!C508,customers!$A$1:$A$1001,customers!$G$1:$G$1001,,0)</f>
        <v>United States</v>
      </c>
      <c r="I508" t="str">
        <f>INDEX(products!$A$1:$G$49,MATCH(orders!$D508, products!$A$1:$A$49,0), MATCH(orders!I$1,products!$A$1:$G$1,0))</f>
        <v>Ara</v>
      </c>
      <c r="J508" t="str">
        <f>INDEX(products!$A$1:$G$49,MATCH(orders!$D508, products!$A$1:$A$49,0), MATCH(orders!J$1,products!$A$1:$G$1,0))</f>
        <v>L</v>
      </c>
      <c r="K508" s="4">
        <f>INDEX(products!$A$1:$G$49,MATCH(orders!$D508, products!$A$1:$A$49,0), MATCH(orders!K$1,products!$A$1:$G$1,0))</f>
        <v>1</v>
      </c>
      <c r="L508" s="5">
        <f>INDEX(products!$A$1:$G$49,MATCH(orders!$D508, products!$A$1:$A$49,0), MATCH(orders!L$1,products!$A$1:$G$1,0))</f>
        <v>12.95</v>
      </c>
      <c r="M508" s="5">
        <f t="shared" si="21"/>
        <v>25.9</v>
      </c>
      <c r="N508" t="str">
        <f t="shared" si="22"/>
        <v>Arabica</v>
      </c>
      <c r="O508" t="str">
        <f t="shared" si="23"/>
        <v>Light</v>
      </c>
      <c r="P508" t="str">
        <f>_xlfn.XLOOKUP(Table1[[#This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IF(_xlfn.XLOOKUP(C509,customers!$A$1:$A$1001,customers!C508:C1508,,0)=0,"",_xlfn.XLOOKUP(C509,customers!$A$1:$A$1001,customers!C508:C1508,,0))</f>
        <v/>
      </c>
      <c r="H509" s="2" t="str">
        <f>_xlfn.XLOOKUP(orders!C509,customers!$A$1:$A$1001,customers!$G$1:$G$1001,,0)</f>
        <v>United States</v>
      </c>
      <c r="I509" t="str">
        <f>INDEX(products!$A$1:$G$49,MATCH(orders!$D509, products!$A$1:$A$49,0), MATCH(orders!I$1,products!$A$1:$G$1,0))</f>
        <v>Ara</v>
      </c>
      <c r="J509" t="str">
        <f>INDEX(products!$A$1:$G$49,MATCH(orders!$D509, products!$A$1:$A$49,0), MATCH(orders!J$1,products!$A$1:$G$1,0))</f>
        <v>L</v>
      </c>
      <c r="K509" s="4">
        <f>INDEX(products!$A$1:$G$49,MATCH(orders!$D509, products!$A$1:$A$49,0), MATCH(orders!K$1,products!$A$1:$G$1,0))</f>
        <v>2.5</v>
      </c>
      <c r="L509" s="5">
        <f>INDEX(products!$A$1:$G$49,MATCH(orders!$D509, products!$A$1:$A$49,0), MATCH(orders!L$1,products!$A$1:$G$1,0))</f>
        <v>29.784999999999997</v>
      </c>
      <c r="M509" s="5">
        <f t="shared" si="21"/>
        <v>89.35499999999999</v>
      </c>
      <c r="N509" t="str">
        <f t="shared" si="22"/>
        <v>Arabica</v>
      </c>
      <c r="O509" t="str">
        <f t="shared" si="23"/>
        <v>Light</v>
      </c>
      <c r="P509" t="str">
        <f>_xlfn.XLOOKUP(Table1[[#This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IF(_xlfn.XLOOKUP(C510,customers!$A$1:$A$1001,customers!C509:C1509,,0)=0,"",_xlfn.XLOOKUP(C510,customers!$A$1:$A$1001,customers!C509:C1509,,0))</f>
        <v/>
      </c>
      <c r="H510" s="2" t="str">
        <f>_xlfn.XLOOKUP(orders!C510,customers!$A$1:$A$1001,customers!$G$1:$G$1001,,0)</f>
        <v>Ireland</v>
      </c>
      <c r="I510" t="str">
        <f>INDEX(products!$A$1:$G$49,MATCH(orders!$D510, products!$A$1:$A$49,0), MATCH(orders!I$1,products!$A$1:$G$1,0))</f>
        <v>Lib</v>
      </c>
      <c r="J510" t="str">
        <f>INDEX(products!$A$1:$G$49,MATCH(orders!$D510, products!$A$1:$A$49,0), MATCH(orders!J$1,products!$A$1:$G$1,0))</f>
        <v>D</v>
      </c>
      <c r="K510" s="4">
        <f>INDEX(products!$A$1:$G$49,MATCH(orders!$D510, products!$A$1:$A$49,0), MATCH(orders!K$1,products!$A$1:$G$1,0))</f>
        <v>0.5</v>
      </c>
      <c r="L510" s="5">
        <f>INDEX(products!$A$1:$G$49,MATCH(orders!$D510, products!$A$1:$A$49,0), MATCH(orders!L$1,products!$A$1:$G$1,0))</f>
        <v>7.77</v>
      </c>
      <c r="M510" s="5">
        <f t="shared" si="21"/>
        <v>46.62</v>
      </c>
      <c r="N510" t="str">
        <f t="shared" si="22"/>
        <v>Liberica</v>
      </c>
      <c r="O510" t="str">
        <f t="shared" si="23"/>
        <v>Dark</v>
      </c>
      <c r="P510" t="str">
        <f>_xlfn.XLOOKUP(Table1[[#This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IF(_xlfn.XLOOKUP(C511,customers!$A$1:$A$1001,customers!C510:C1510,,0)=0,"",_xlfn.XLOOKUP(C511,customers!$A$1:$A$1001,customers!C510:C1510,,0))</f>
        <v/>
      </c>
      <c r="H511" s="2" t="str">
        <f>_xlfn.XLOOKUP(orders!C511,customers!$A$1:$A$1001,customers!$G$1:$G$1001,,0)</f>
        <v>Ireland</v>
      </c>
      <c r="I511" t="str">
        <f>INDEX(products!$A$1:$G$49,MATCH(orders!$D511, products!$A$1:$A$49,0), MATCH(orders!I$1,products!$A$1:$G$1,0))</f>
        <v>Ara</v>
      </c>
      <c r="J511" t="str">
        <f>INDEX(products!$A$1:$G$49,MATCH(orders!$D511, products!$A$1:$A$49,0), MATCH(orders!J$1,products!$A$1:$G$1,0))</f>
        <v>D</v>
      </c>
      <c r="K511" s="4">
        <f>INDEX(products!$A$1:$G$49,MATCH(orders!$D511, products!$A$1:$A$49,0), MATCH(orders!K$1,products!$A$1:$G$1,0))</f>
        <v>1</v>
      </c>
      <c r="L511" s="5">
        <f>INDEX(products!$A$1:$G$49,MATCH(orders!$D511, products!$A$1:$A$49,0), MATCH(orders!L$1,products!$A$1:$G$1,0))</f>
        <v>9.9499999999999993</v>
      </c>
      <c r="M511" s="5">
        <f t="shared" si="21"/>
        <v>29.849999999999998</v>
      </c>
      <c r="N511" t="str">
        <f t="shared" si="22"/>
        <v>Arabica</v>
      </c>
      <c r="O511" t="str">
        <f t="shared" si="23"/>
        <v>Dark</v>
      </c>
      <c r="P511" t="str">
        <f>_xlfn.XLOOKUP(Table1[[#This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IF(_xlfn.XLOOKUP(C512,customers!$A$1:$A$1001,customers!C511:C1511,,0)=0,"",_xlfn.XLOOKUP(C512,customers!$A$1:$A$1001,customers!C511:C1511,,0))</f>
        <v/>
      </c>
      <c r="H512" s="2" t="str">
        <f>_xlfn.XLOOKUP(orders!C512,customers!$A$1:$A$1001,customers!$G$1:$G$1001,,0)</f>
        <v>Ireland</v>
      </c>
      <c r="I512" t="str">
        <f>INDEX(products!$A$1:$G$49,MATCH(orders!$D512, products!$A$1:$A$49,0), MATCH(orders!I$1,products!$A$1:$G$1,0))</f>
        <v>Rob</v>
      </c>
      <c r="J512" t="str">
        <f>INDEX(products!$A$1:$G$49,MATCH(orders!$D512, products!$A$1:$A$49,0), MATCH(orders!J$1,products!$A$1:$G$1,0))</f>
        <v>L</v>
      </c>
      <c r="K512" s="4">
        <f>INDEX(products!$A$1:$G$49,MATCH(orders!$D512, products!$A$1:$A$49,0), MATCH(orders!K$1,products!$A$1:$G$1,0))</f>
        <v>0.2</v>
      </c>
      <c r="L512" s="5">
        <f>INDEX(products!$A$1:$G$49,MATCH(orders!$D512, products!$A$1:$A$49,0), MATCH(orders!L$1,products!$A$1:$G$1,0))</f>
        <v>3.5849999999999995</v>
      </c>
      <c r="M512" s="5">
        <f t="shared" si="21"/>
        <v>10.754999999999999</v>
      </c>
      <c r="N512" t="str">
        <f t="shared" si="22"/>
        <v>Robusta</v>
      </c>
      <c r="O512" t="str">
        <f t="shared" si="23"/>
        <v>Light</v>
      </c>
      <c r="P512" t="str">
        <f>_xlfn.XLOOKUP(Table1[[#This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IF(_xlfn.XLOOKUP(C513,customers!$A$1:$A$1001,customers!C512:C1512,,0)=0,"",_xlfn.XLOOKUP(C513,customers!$A$1:$A$1001,customers!C512:C1512,,0))</f>
        <v/>
      </c>
      <c r="H513" s="2" t="str">
        <f>_xlfn.XLOOKUP(orders!C513,customers!$A$1:$A$1001,customers!$G$1:$G$1001,,0)</f>
        <v>United States</v>
      </c>
      <c r="I513" t="str">
        <f>INDEX(products!$A$1:$G$49,MATCH(orders!$D513, products!$A$1:$A$49,0), MATCH(orders!I$1,products!$A$1:$G$1,0))</f>
        <v>Ara</v>
      </c>
      <c r="J513" t="str">
        <f>INDEX(products!$A$1:$G$49,MATCH(orders!$D513, products!$A$1:$A$49,0), MATCH(orders!J$1,products!$A$1:$G$1,0))</f>
        <v>M</v>
      </c>
      <c r="K513" s="4">
        <f>INDEX(products!$A$1:$G$49,MATCH(orders!$D513, products!$A$1:$A$49,0), MATCH(orders!K$1,products!$A$1:$G$1,0))</f>
        <v>0.2</v>
      </c>
      <c r="L513" s="5">
        <f>INDEX(products!$A$1:$G$49,MATCH(orders!$D513, products!$A$1:$A$49,0), MATCH(orders!L$1,products!$A$1:$G$1,0))</f>
        <v>3.375</v>
      </c>
      <c r="M513" s="5">
        <f t="shared" si="21"/>
        <v>13.5</v>
      </c>
      <c r="N513" t="str">
        <f t="shared" si="22"/>
        <v>Arabica</v>
      </c>
      <c r="O513" t="str">
        <f t="shared" si="23"/>
        <v>Medium</v>
      </c>
      <c r="P513" t="str">
        <f>_xlfn.XLOOKUP(Table1[[#This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IF(_xlfn.XLOOKUP(C514,customers!$A$1:$A$1001,customers!C513:C1513,,0)=0,"",_xlfn.XLOOKUP(C514,customers!$A$1:$A$1001,customers!C513:C1513,,0))</f>
        <v/>
      </c>
      <c r="H514" s="2" t="str">
        <f>_xlfn.XLOOKUP(orders!C514,customers!$A$1:$A$1001,customers!$G$1:$G$1001,,0)</f>
        <v>United States</v>
      </c>
      <c r="I514" t="str">
        <f>INDEX(products!$A$1:$G$49,MATCH(orders!$D514, products!$A$1:$A$49,0), MATCH(orders!I$1,products!$A$1:$G$1,0))</f>
        <v>Lib</v>
      </c>
      <c r="J514" t="str">
        <f>INDEX(products!$A$1:$G$49,MATCH(orders!$D514, products!$A$1:$A$49,0), MATCH(orders!J$1,products!$A$1:$G$1,0))</f>
        <v>L</v>
      </c>
      <c r="K514" s="4">
        <f>INDEX(products!$A$1:$G$49,MATCH(orders!$D514, products!$A$1:$A$49,0), MATCH(orders!K$1,products!$A$1:$G$1,0))</f>
        <v>1</v>
      </c>
      <c r="L514" s="5">
        <f>INDEX(products!$A$1:$G$49,MATCH(orders!$D514, products!$A$1:$A$49,0), MATCH(orders!L$1,products!$A$1:$G$1,0))</f>
        <v>15.85</v>
      </c>
      <c r="M514" s="5">
        <f t="shared" si="21"/>
        <v>47.55</v>
      </c>
      <c r="N514" t="str">
        <f t="shared" si="22"/>
        <v>Liberica</v>
      </c>
      <c r="O514" t="str">
        <f t="shared" si="23"/>
        <v>Light</v>
      </c>
      <c r="P514" t="str">
        <f>_xlfn.XLOOKUP(Table1[[#This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IF(_xlfn.XLOOKUP(C515,customers!$A$1:$A$1001,customers!C514:C1514,,0)=0,"",_xlfn.XLOOKUP(C515,customers!$A$1:$A$1001,customers!C514:C1514,,0))</f>
        <v/>
      </c>
      <c r="H515" s="2" t="str">
        <f>_xlfn.XLOOKUP(orders!C515,customers!$A$1:$A$1001,customers!$G$1:$G$1001,,0)</f>
        <v>United States</v>
      </c>
      <c r="I515" t="str">
        <f>INDEX(products!$A$1:$G$49,MATCH(orders!$D515, products!$A$1:$A$49,0), MATCH(orders!I$1,products!$A$1:$G$1,0))</f>
        <v>Lib</v>
      </c>
      <c r="J515" t="str">
        <f>INDEX(products!$A$1:$G$49,MATCH(orders!$D515, products!$A$1:$A$49,0), MATCH(orders!J$1,products!$A$1:$G$1,0))</f>
        <v>L</v>
      </c>
      <c r="K515" s="4">
        <f>INDEX(products!$A$1:$G$49,MATCH(orders!$D515, products!$A$1:$A$49,0), MATCH(orders!K$1,products!$A$1:$G$1,0))</f>
        <v>1</v>
      </c>
      <c r="L515" s="5">
        <f>INDEX(products!$A$1:$G$49,MATCH(orders!$D515, products!$A$1:$A$49,0), MATCH(orders!L$1,products!$A$1:$G$1,0))</f>
        <v>15.85</v>
      </c>
      <c r="M515" s="5">
        <f t="shared" ref="M515:M578" si="24">L515*E515</f>
        <v>79.25</v>
      </c>
      <c r="N515" t="str">
        <f t="shared" ref="N515:N578" si="25">IF(I515="Rob","Robusta",IF(I515="Exc", "Excelsa", IF(I515="Ara","Arabica", IF(I515="lib","Liberica",""))))</f>
        <v>Liberica</v>
      </c>
      <c r="O515" t="str">
        <f t="shared" ref="O515:O578" si="26">IF(J515="M","Medium",IF(J515="L","Light",IF(J515="D","Dark", "")))</f>
        <v>Light</v>
      </c>
      <c r="P515" t="str">
        <f>_xlfn.XLOOKUP(Table1[[#This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IF(_xlfn.XLOOKUP(C516,customers!$A$1:$A$1001,customers!C515:C1515,,0)=0,"",_xlfn.XLOOKUP(C516,customers!$A$1:$A$1001,customers!C515:C1515,,0))</f>
        <v/>
      </c>
      <c r="H516" s="2" t="str">
        <f>_xlfn.XLOOKUP(orders!C516,customers!$A$1:$A$1001,customers!$G$1:$G$1001,,0)</f>
        <v>United States</v>
      </c>
      <c r="I516" t="str">
        <f>INDEX(products!$A$1:$G$49,MATCH(orders!$D516, products!$A$1:$A$49,0), MATCH(orders!I$1,products!$A$1:$G$1,0))</f>
        <v>Lib</v>
      </c>
      <c r="J516" t="str">
        <f>INDEX(products!$A$1:$G$49,MATCH(orders!$D516, products!$A$1:$A$49,0), MATCH(orders!J$1,products!$A$1:$G$1,0))</f>
        <v>M</v>
      </c>
      <c r="K516" s="4">
        <f>INDEX(products!$A$1:$G$49,MATCH(orders!$D516, products!$A$1:$A$49,0), MATCH(orders!K$1,products!$A$1:$G$1,0))</f>
        <v>0.2</v>
      </c>
      <c r="L516" s="5">
        <f>INDEX(products!$A$1:$G$49,MATCH(orders!$D516, products!$A$1:$A$49,0), MATCH(orders!L$1,products!$A$1:$G$1,0))</f>
        <v>4.3650000000000002</v>
      </c>
      <c r="M516" s="5">
        <f t="shared" si="24"/>
        <v>26.19</v>
      </c>
      <c r="N516" t="str">
        <f t="shared" si="25"/>
        <v>Liberica</v>
      </c>
      <c r="O516" t="str">
        <f t="shared" si="26"/>
        <v>Medium</v>
      </c>
      <c r="P516" t="str">
        <f>_xlfn.XLOOKUP(Table1[[#This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IF(_xlfn.XLOOKUP(C517,customers!$A$1:$A$1001,customers!C516:C1516,,0)=0,"",_xlfn.XLOOKUP(C517,customers!$A$1:$A$1001,customers!C516:C1516,,0))</f>
        <v/>
      </c>
      <c r="H517" s="2" t="str">
        <f>_xlfn.XLOOKUP(orders!C517,customers!$A$1:$A$1001,customers!$G$1:$G$1001,,0)</f>
        <v>United States</v>
      </c>
      <c r="I517" t="str">
        <f>INDEX(products!$A$1:$G$49,MATCH(orders!$D517, products!$A$1:$A$49,0), MATCH(orders!I$1,products!$A$1:$G$1,0))</f>
        <v>Rob</v>
      </c>
      <c r="J517" t="str">
        <f>INDEX(products!$A$1:$G$49,MATCH(orders!$D517, products!$A$1:$A$49,0), MATCH(orders!J$1,products!$A$1:$G$1,0))</f>
        <v>L</v>
      </c>
      <c r="K517" s="4">
        <f>INDEX(products!$A$1:$G$49,MATCH(orders!$D517, products!$A$1:$A$49,0), MATCH(orders!K$1,products!$A$1:$G$1,0))</f>
        <v>0.5</v>
      </c>
      <c r="L517" s="5">
        <f>INDEX(products!$A$1:$G$49,MATCH(orders!$D517, products!$A$1:$A$49,0), MATCH(orders!L$1,products!$A$1:$G$1,0))</f>
        <v>7.169999999999999</v>
      </c>
      <c r="M517" s="5">
        <f t="shared" si="24"/>
        <v>21.509999999999998</v>
      </c>
      <c r="N517" t="str">
        <f t="shared" si="25"/>
        <v>Robusta</v>
      </c>
      <c r="O517" t="str">
        <f t="shared" si="26"/>
        <v>Light</v>
      </c>
      <c r="P517" t="str">
        <f>_xlfn.XLOOKUP(Table1[[#This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IF(_xlfn.XLOOKUP(C518,customers!$A$1:$A$1001,customers!C517:C1517,,0)=0,"",_xlfn.XLOOKUP(C518,customers!$A$1:$A$1001,customers!C517:C1517,,0))</f>
        <v/>
      </c>
      <c r="H518" s="2" t="str">
        <f>_xlfn.XLOOKUP(orders!C518,customers!$A$1:$A$1001,customers!$G$1:$G$1001,,0)</f>
        <v>United States</v>
      </c>
      <c r="I518" t="str">
        <f>INDEX(products!$A$1:$G$49,MATCH(orders!$D518, products!$A$1:$A$49,0), MATCH(orders!I$1,products!$A$1:$G$1,0))</f>
        <v>Rob</v>
      </c>
      <c r="J518" t="str">
        <f>INDEX(products!$A$1:$G$49,MATCH(orders!$D518, products!$A$1:$A$49,0), MATCH(orders!J$1,products!$A$1:$G$1,0))</f>
        <v>D</v>
      </c>
      <c r="K518" s="4">
        <f>INDEX(products!$A$1:$G$49,MATCH(orders!$D518, products!$A$1:$A$49,0), MATCH(orders!K$1,products!$A$1:$G$1,0))</f>
        <v>2.5</v>
      </c>
      <c r="L518" s="5">
        <f>INDEX(products!$A$1:$G$49,MATCH(orders!$D518, products!$A$1:$A$49,0), MATCH(orders!L$1,products!$A$1:$G$1,0))</f>
        <v>20.584999999999997</v>
      </c>
      <c r="M518" s="5">
        <f t="shared" si="24"/>
        <v>102.92499999999998</v>
      </c>
      <c r="N518" t="str">
        <f t="shared" si="25"/>
        <v>Robusta</v>
      </c>
      <c r="O518" t="str">
        <f t="shared" si="26"/>
        <v>Dark</v>
      </c>
      <c r="P518" t="str">
        <f>_xlfn.XLOOKUP(Table1[[#This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IF(_xlfn.XLOOKUP(C519,customers!$A$1:$A$1001,customers!C518:C1518,,0)=0,"",_xlfn.XLOOKUP(C519,customers!$A$1:$A$1001,customers!C518:C1518,,0))</f>
        <v/>
      </c>
      <c r="H519" s="2" t="str">
        <f>_xlfn.XLOOKUP(orders!C519,customers!$A$1:$A$1001,customers!$G$1:$G$1001,,0)</f>
        <v>United States</v>
      </c>
      <c r="I519" t="str">
        <f>INDEX(products!$A$1:$G$49,MATCH(orders!$D519, products!$A$1:$A$49,0), MATCH(orders!I$1,products!$A$1:$G$1,0))</f>
        <v>Lib</v>
      </c>
      <c r="J519" t="str">
        <f>INDEX(products!$A$1:$G$49,MATCH(orders!$D519, products!$A$1:$A$49,0), MATCH(orders!J$1,products!$A$1:$G$1,0))</f>
        <v>D</v>
      </c>
      <c r="K519" s="4">
        <f>INDEX(products!$A$1:$G$49,MATCH(orders!$D519, products!$A$1:$A$49,0), MATCH(orders!K$1,products!$A$1:$G$1,0))</f>
        <v>0.2</v>
      </c>
      <c r="L519" s="5">
        <f>INDEX(products!$A$1:$G$49,MATCH(orders!$D519, products!$A$1:$A$49,0), MATCH(orders!L$1,products!$A$1:$G$1,0))</f>
        <v>3.8849999999999998</v>
      </c>
      <c r="M519" s="5">
        <f t="shared" si="24"/>
        <v>7.77</v>
      </c>
      <c r="N519" t="str">
        <f t="shared" si="25"/>
        <v>Liberica</v>
      </c>
      <c r="O519" t="str">
        <f t="shared" si="26"/>
        <v>Dark</v>
      </c>
      <c r="P519" t="str">
        <f>_xlfn.XLOOKUP(Table1[[#This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IF(_xlfn.XLOOKUP(C520,customers!$A$1:$A$1001,customers!C519:C1519,,0)=0,"",_xlfn.XLOOKUP(C520,customers!$A$1:$A$1001,customers!C519:C1519,,0))</f>
        <v/>
      </c>
      <c r="H520" s="2" t="str">
        <f>_xlfn.XLOOKUP(orders!C520,customers!$A$1:$A$1001,customers!$G$1:$G$1001,,0)</f>
        <v>United States</v>
      </c>
      <c r="I520" t="str">
        <f>INDEX(products!$A$1:$G$49,MATCH(orders!$D520, products!$A$1:$A$49,0), MATCH(orders!I$1,products!$A$1:$G$1,0))</f>
        <v>Exc</v>
      </c>
      <c r="J520" t="str">
        <f>INDEX(products!$A$1:$G$49,MATCH(orders!$D520, products!$A$1:$A$49,0), MATCH(orders!J$1,products!$A$1:$G$1,0))</f>
        <v>D</v>
      </c>
      <c r="K520" s="4">
        <f>INDEX(products!$A$1:$G$49,MATCH(orders!$D520, products!$A$1:$A$49,0), MATCH(orders!K$1,products!$A$1:$G$1,0))</f>
        <v>2.5</v>
      </c>
      <c r="L520" s="5">
        <f>INDEX(products!$A$1:$G$49,MATCH(orders!$D520, products!$A$1:$A$49,0), MATCH(orders!L$1,products!$A$1:$G$1,0))</f>
        <v>27.945</v>
      </c>
      <c r="M520" s="5">
        <f t="shared" si="24"/>
        <v>139.72499999999999</v>
      </c>
      <c r="N520" t="str">
        <f t="shared" si="25"/>
        <v>Excelsa</v>
      </c>
      <c r="O520" t="str">
        <f t="shared" si="26"/>
        <v>Dark</v>
      </c>
      <c r="P520" t="str">
        <f>_xlfn.XLOOKUP(Table1[[#This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IF(_xlfn.XLOOKUP(C521,customers!$A$1:$A$1001,customers!C520:C1520,,0)=0,"",_xlfn.XLOOKUP(C521,customers!$A$1:$A$1001,customers!C520:C1520,,0))</f>
        <v/>
      </c>
      <c r="H521" s="2" t="str">
        <f>_xlfn.XLOOKUP(orders!C521,customers!$A$1:$A$1001,customers!$G$1:$G$1001,,0)</f>
        <v>Ireland</v>
      </c>
      <c r="I521" t="str">
        <f>INDEX(products!$A$1:$G$49,MATCH(orders!$D521, products!$A$1:$A$49,0), MATCH(orders!I$1,products!$A$1:$G$1,0))</f>
        <v>Ara</v>
      </c>
      <c r="J521" t="str">
        <f>INDEX(products!$A$1:$G$49,MATCH(orders!$D521, products!$A$1:$A$49,0), MATCH(orders!J$1,products!$A$1:$G$1,0))</f>
        <v>D</v>
      </c>
      <c r="K521" s="4">
        <f>INDEX(products!$A$1:$G$49,MATCH(orders!$D521, products!$A$1:$A$49,0), MATCH(orders!K$1,products!$A$1:$G$1,0))</f>
        <v>0.5</v>
      </c>
      <c r="L521" s="5">
        <f>INDEX(products!$A$1:$G$49,MATCH(orders!$D521, products!$A$1:$A$49,0), MATCH(orders!L$1,products!$A$1:$G$1,0))</f>
        <v>5.97</v>
      </c>
      <c r="M521" s="5">
        <f t="shared" si="24"/>
        <v>11.94</v>
      </c>
      <c r="N521" t="str">
        <f t="shared" si="25"/>
        <v>Arabica</v>
      </c>
      <c r="O521" t="str">
        <f t="shared" si="26"/>
        <v>Dark</v>
      </c>
      <c r="P521" t="str">
        <f>_xlfn.XLOOKUP(Table1[[#This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IF(_xlfn.XLOOKUP(C522,customers!$A$1:$A$1001,customers!C521:C1521,,0)=0,"",_xlfn.XLOOKUP(C522,customers!$A$1:$A$1001,customers!C521:C1521,,0))</f>
        <v/>
      </c>
      <c r="H522" s="2" t="str">
        <f>_xlfn.XLOOKUP(orders!C522,customers!$A$1:$A$1001,customers!$G$1:$G$1001,,0)</f>
        <v>United States</v>
      </c>
      <c r="I522" t="str">
        <f>INDEX(products!$A$1:$G$49,MATCH(orders!$D522, products!$A$1:$A$49,0), MATCH(orders!I$1,products!$A$1:$G$1,0))</f>
        <v>Lib</v>
      </c>
      <c r="J522" t="str">
        <f>INDEX(products!$A$1:$G$49,MATCH(orders!$D522, products!$A$1:$A$49,0), MATCH(orders!J$1,products!$A$1:$G$1,0))</f>
        <v>D</v>
      </c>
      <c r="K522" s="4">
        <f>INDEX(products!$A$1:$G$49,MATCH(orders!$D522, products!$A$1:$A$49,0), MATCH(orders!K$1,products!$A$1:$G$1,0))</f>
        <v>0.2</v>
      </c>
      <c r="L522" s="5">
        <f>INDEX(products!$A$1:$G$49,MATCH(orders!$D522, products!$A$1:$A$49,0), MATCH(orders!L$1,products!$A$1:$G$1,0))</f>
        <v>3.8849999999999998</v>
      </c>
      <c r="M522" s="5">
        <f t="shared" si="24"/>
        <v>3.8849999999999998</v>
      </c>
      <c r="N522" t="str">
        <f t="shared" si="25"/>
        <v>Liberica</v>
      </c>
      <c r="O522" t="str">
        <f t="shared" si="26"/>
        <v>Dark</v>
      </c>
      <c r="P522" t="str">
        <f>_xlfn.XLOOKUP(Table1[[#This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IF(_xlfn.XLOOKUP(C523,customers!$A$1:$A$1001,customers!C522:C1522,,0)=0,"",_xlfn.XLOOKUP(C523,customers!$A$1:$A$1001,customers!C522:C1522,,0))</f>
        <v/>
      </c>
      <c r="H523" s="2" t="str">
        <f>_xlfn.XLOOKUP(orders!C523,customers!$A$1:$A$1001,customers!$G$1:$G$1001,,0)</f>
        <v>United States</v>
      </c>
      <c r="I523" t="str">
        <f>INDEX(products!$A$1:$G$49,MATCH(orders!$D523, products!$A$1:$A$49,0), MATCH(orders!I$1,products!$A$1:$G$1,0))</f>
        <v>Rob</v>
      </c>
      <c r="J523" t="str">
        <f>INDEX(products!$A$1:$G$49,MATCH(orders!$D523, products!$A$1:$A$49,0), MATCH(orders!J$1,products!$A$1:$G$1,0))</f>
        <v>M</v>
      </c>
      <c r="K523" s="4">
        <f>INDEX(products!$A$1:$G$49,MATCH(orders!$D523, products!$A$1:$A$49,0), MATCH(orders!K$1,products!$A$1:$G$1,0))</f>
        <v>1</v>
      </c>
      <c r="L523" s="5">
        <f>INDEX(products!$A$1:$G$49,MATCH(orders!$D523, products!$A$1:$A$49,0), MATCH(orders!L$1,products!$A$1:$G$1,0))</f>
        <v>9.9499999999999993</v>
      </c>
      <c r="M523" s="5">
        <f t="shared" si="24"/>
        <v>39.799999999999997</v>
      </c>
      <c r="N523" t="str">
        <f t="shared" si="25"/>
        <v>Robusta</v>
      </c>
      <c r="O523" t="str">
        <f t="shared" si="26"/>
        <v>Medium</v>
      </c>
      <c r="P523" t="str">
        <f>_xlfn.XLOOKUP(Table1[[#This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IF(_xlfn.XLOOKUP(C524,customers!$A$1:$A$1001,customers!C523:C1523,,0)=0,"",_xlfn.XLOOKUP(C524,customers!$A$1:$A$1001,customers!C523:C1523,,0))</f>
        <v/>
      </c>
      <c r="H524" s="2" t="str">
        <f>_xlfn.XLOOKUP(orders!C524,customers!$A$1:$A$1001,customers!$G$1:$G$1001,,0)</f>
        <v>United States</v>
      </c>
      <c r="I524" t="str">
        <f>INDEX(products!$A$1:$G$49,MATCH(orders!$D524, products!$A$1:$A$49,0), MATCH(orders!I$1,products!$A$1:$G$1,0))</f>
        <v>Rob</v>
      </c>
      <c r="J524" t="str">
        <f>INDEX(products!$A$1:$G$49,MATCH(orders!$D524, products!$A$1:$A$49,0), MATCH(orders!J$1,products!$A$1:$G$1,0))</f>
        <v>M</v>
      </c>
      <c r="K524" s="4">
        <f>INDEX(products!$A$1:$G$49,MATCH(orders!$D524, products!$A$1:$A$49,0), MATCH(orders!K$1,products!$A$1:$G$1,0))</f>
        <v>0.5</v>
      </c>
      <c r="L524" s="5">
        <f>INDEX(products!$A$1:$G$49,MATCH(orders!$D524, products!$A$1:$A$49,0), MATCH(orders!L$1,products!$A$1:$G$1,0))</f>
        <v>5.97</v>
      </c>
      <c r="M524" s="5">
        <f t="shared" si="24"/>
        <v>29.849999999999998</v>
      </c>
      <c r="N524" t="str">
        <f t="shared" si="25"/>
        <v>Robusta</v>
      </c>
      <c r="O524" t="str">
        <f t="shared" si="26"/>
        <v>Medium</v>
      </c>
      <c r="P524" t="str">
        <f>_xlfn.XLOOKUP(Table1[[#This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IF(_xlfn.XLOOKUP(C525,customers!$A$1:$A$1001,customers!C524:C1524,,0)=0,"",_xlfn.XLOOKUP(C525,customers!$A$1:$A$1001,customers!C524:C1524,,0))</f>
        <v/>
      </c>
      <c r="H525" s="2" t="str">
        <f>_xlfn.XLOOKUP(orders!C525,customers!$A$1:$A$1001,customers!$G$1:$G$1001,,0)</f>
        <v>Ireland</v>
      </c>
      <c r="I525" t="str">
        <f>INDEX(products!$A$1:$G$49,MATCH(orders!$D525, products!$A$1:$A$49,0), MATCH(orders!I$1,products!$A$1:$G$1,0))</f>
        <v>Lib</v>
      </c>
      <c r="J525" t="str">
        <f>INDEX(products!$A$1:$G$49,MATCH(orders!$D525, products!$A$1:$A$49,0), MATCH(orders!J$1,products!$A$1:$G$1,0))</f>
        <v>D</v>
      </c>
      <c r="K525" s="4">
        <f>INDEX(products!$A$1:$G$49,MATCH(orders!$D525, products!$A$1:$A$49,0), MATCH(orders!K$1,products!$A$1:$G$1,0))</f>
        <v>2.5</v>
      </c>
      <c r="L525" s="5">
        <f>INDEX(products!$A$1:$G$49,MATCH(orders!$D525, products!$A$1:$A$49,0), MATCH(orders!L$1,products!$A$1:$G$1,0))</f>
        <v>29.784999999999997</v>
      </c>
      <c r="M525" s="5">
        <f t="shared" si="24"/>
        <v>29.784999999999997</v>
      </c>
      <c r="N525" t="str">
        <f t="shared" si="25"/>
        <v>Liberica</v>
      </c>
      <c r="O525" t="str">
        <f t="shared" si="26"/>
        <v>Dark</v>
      </c>
      <c r="P525" t="str">
        <f>_xlfn.XLOOKUP(Table1[[#This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IF(_xlfn.XLOOKUP(C526,customers!$A$1:$A$1001,customers!C525:C1525,,0)=0,"",_xlfn.XLOOKUP(C526,customers!$A$1:$A$1001,customers!C525:C1525,,0))</f>
        <v/>
      </c>
      <c r="H526" s="2" t="str">
        <f>_xlfn.XLOOKUP(orders!C526,customers!$A$1:$A$1001,customers!$G$1:$G$1001,,0)</f>
        <v>United States</v>
      </c>
      <c r="I526" t="str">
        <f>INDEX(products!$A$1:$G$49,MATCH(orders!$D526, products!$A$1:$A$49,0), MATCH(orders!I$1,products!$A$1:$G$1,0))</f>
        <v>Lib</v>
      </c>
      <c r="J526" t="str">
        <f>INDEX(products!$A$1:$G$49,MATCH(orders!$D526, products!$A$1:$A$49,0), MATCH(orders!J$1,products!$A$1:$G$1,0))</f>
        <v>L</v>
      </c>
      <c r="K526" s="4">
        <f>INDEX(products!$A$1:$G$49,MATCH(orders!$D526, products!$A$1:$A$49,0), MATCH(orders!K$1,products!$A$1:$G$1,0))</f>
        <v>2.5</v>
      </c>
      <c r="L526" s="5">
        <f>INDEX(products!$A$1:$G$49,MATCH(orders!$D526, products!$A$1:$A$49,0), MATCH(orders!L$1,products!$A$1:$G$1,0))</f>
        <v>36.454999999999998</v>
      </c>
      <c r="M526" s="5">
        <f t="shared" si="24"/>
        <v>72.91</v>
      </c>
      <c r="N526" t="str">
        <f t="shared" si="25"/>
        <v>Liberica</v>
      </c>
      <c r="O526" t="str">
        <f t="shared" si="26"/>
        <v>Light</v>
      </c>
      <c r="P526" t="str">
        <f>_xlfn.XLOOKUP(Table1[[#This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IF(_xlfn.XLOOKUP(C527,customers!$A$1:$A$1001,customers!C526:C1526,,0)=0,"",_xlfn.XLOOKUP(C527,customers!$A$1:$A$1001,customers!C526:C1526,,0))</f>
        <v/>
      </c>
      <c r="H527" s="2" t="str">
        <f>_xlfn.XLOOKUP(orders!C527,customers!$A$1:$A$1001,customers!$G$1:$G$1001,,0)</f>
        <v>United States</v>
      </c>
      <c r="I527" t="str">
        <f>INDEX(products!$A$1:$G$49,MATCH(orders!$D527, products!$A$1:$A$49,0), MATCH(orders!I$1,products!$A$1:$G$1,0))</f>
        <v>Rob</v>
      </c>
      <c r="J527" t="str">
        <f>INDEX(products!$A$1:$G$49,MATCH(orders!$D527, products!$A$1:$A$49,0), MATCH(orders!J$1,products!$A$1:$G$1,0))</f>
        <v>D</v>
      </c>
      <c r="K527" s="4">
        <f>INDEX(products!$A$1:$G$49,MATCH(orders!$D527, products!$A$1:$A$49,0), MATCH(orders!K$1,products!$A$1:$G$1,0))</f>
        <v>0.2</v>
      </c>
      <c r="L527" s="5">
        <f>INDEX(products!$A$1:$G$49,MATCH(orders!$D527, products!$A$1:$A$49,0), MATCH(orders!L$1,products!$A$1:$G$1,0))</f>
        <v>2.6849999999999996</v>
      </c>
      <c r="M527" s="5">
        <f t="shared" si="24"/>
        <v>13.424999999999997</v>
      </c>
      <c r="N527" t="str">
        <f t="shared" si="25"/>
        <v>Robusta</v>
      </c>
      <c r="O527" t="str">
        <f t="shared" si="26"/>
        <v>Dark</v>
      </c>
      <c r="P527" t="str">
        <f>_xlfn.XLOOKUP(Table1[[#This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IF(_xlfn.XLOOKUP(C528,customers!$A$1:$A$1001,customers!C527:C1527,,0)=0,"",_xlfn.XLOOKUP(C528,customers!$A$1:$A$1001,customers!C527:C1527,,0))</f>
        <v/>
      </c>
      <c r="H528" s="2" t="str">
        <f>_xlfn.XLOOKUP(orders!C528,customers!$A$1:$A$1001,customers!$G$1:$G$1001,,0)</f>
        <v>United States</v>
      </c>
      <c r="I528" t="str">
        <f>INDEX(products!$A$1:$G$49,MATCH(orders!$D528, products!$A$1:$A$49,0), MATCH(orders!I$1,products!$A$1:$G$1,0))</f>
        <v>Exc</v>
      </c>
      <c r="J528" t="str">
        <f>INDEX(products!$A$1:$G$49,MATCH(orders!$D528, products!$A$1:$A$49,0), MATCH(orders!J$1,products!$A$1:$G$1,0))</f>
        <v>M</v>
      </c>
      <c r="K528" s="4">
        <f>INDEX(products!$A$1:$G$49,MATCH(orders!$D528, products!$A$1:$A$49,0), MATCH(orders!K$1,products!$A$1:$G$1,0))</f>
        <v>2.5</v>
      </c>
      <c r="L528" s="5">
        <f>INDEX(products!$A$1:$G$49,MATCH(orders!$D528, products!$A$1:$A$49,0), MATCH(orders!L$1,products!$A$1:$G$1,0))</f>
        <v>31.624999999999996</v>
      </c>
      <c r="M528" s="5">
        <f t="shared" si="24"/>
        <v>126.49999999999999</v>
      </c>
      <c r="N528" t="str">
        <f t="shared" si="25"/>
        <v>Excelsa</v>
      </c>
      <c r="O528" t="str">
        <f t="shared" si="26"/>
        <v>Medium</v>
      </c>
      <c r="P528" t="str">
        <f>_xlfn.XLOOKUP(Table1[[#This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IF(_xlfn.XLOOKUP(C529,customers!$A$1:$A$1001,customers!C528:C1528,,0)=0,"",_xlfn.XLOOKUP(C529,customers!$A$1:$A$1001,customers!C528:C1528,,0))</f>
        <v/>
      </c>
      <c r="H529" s="2" t="str">
        <f>_xlfn.XLOOKUP(orders!C529,customers!$A$1:$A$1001,customers!$G$1:$G$1001,,0)</f>
        <v>United Kingdom</v>
      </c>
      <c r="I529" t="str">
        <f>INDEX(products!$A$1:$G$49,MATCH(orders!$D529, products!$A$1:$A$49,0), MATCH(orders!I$1,products!$A$1:$G$1,0))</f>
        <v>Exc</v>
      </c>
      <c r="J529" t="str">
        <f>INDEX(products!$A$1:$G$49,MATCH(orders!$D529, products!$A$1:$A$49,0), MATCH(orders!J$1,products!$A$1:$G$1,0))</f>
        <v>M</v>
      </c>
      <c r="K529" s="4">
        <f>INDEX(products!$A$1:$G$49,MATCH(orders!$D529, products!$A$1:$A$49,0), MATCH(orders!K$1,products!$A$1:$G$1,0))</f>
        <v>0.5</v>
      </c>
      <c r="L529" s="5">
        <f>INDEX(products!$A$1:$G$49,MATCH(orders!$D529, products!$A$1:$A$49,0), MATCH(orders!L$1,products!$A$1:$G$1,0))</f>
        <v>8.25</v>
      </c>
      <c r="M529" s="5">
        <f t="shared" si="24"/>
        <v>41.25</v>
      </c>
      <c r="N529" t="str">
        <f t="shared" si="25"/>
        <v>Excelsa</v>
      </c>
      <c r="O529" t="str">
        <f t="shared" si="26"/>
        <v>Medium</v>
      </c>
      <c r="P529" t="str">
        <f>_xlfn.XLOOKUP(Table1[[#This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IF(_xlfn.XLOOKUP(C530,customers!$A$1:$A$1001,customers!C529:C1529,,0)=0,"",_xlfn.XLOOKUP(C530,customers!$A$1:$A$1001,customers!C529:C1529,,0))</f>
        <v/>
      </c>
      <c r="H530" s="2" t="str">
        <f>_xlfn.XLOOKUP(orders!C530,customers!$A$1:$A$1001,customers!$G$1:$G$1001,,0)</f>
        <v>United States</v>
      </c>
      <c r="I530" t="str">
        <f>INDEX(products!$A$1:$G$49,MATCH(orders!$D530, products!$A$1:$A$49,0), MATCH(orders!I$1,products!$A$1:$G$1,0))</f>
        <v>Exc</v>
      </c>
      <c r="J530" t="str">
        <f>INDEX(products!$A$1:$G$49,MATCH(orders!$D530, products!$A$1:$A$49,0), MATCH(orders!J$1,products!$A$1:$G$1,0))</f>
        <v>L</v>
      </c>
      <c r="K530" s="4">
        <f>INDEX(products!$A$1:$G$49,MATCH(orders!$D530, products!$A$1:$A$49,0), MATCH(orders!K$1,products!$A$1:$G$1,0))</f>
        <v>0.5</v>
      </c>
      <c r="L530" s="5">
        <f>INDEX(products!$A$1:$G$49,MATCH(orders!$D530, products!$A$1:$A$49,0), MATCH(orders!L$1,products!$A$1:$G$1,0))</f>
        <v>8.91</v>
      </c>
      <c r="M530" s="5">
        <f t="shared" si="24"/>
        <v>53.46</v>
      </c>
      <c r="N530" t="str">
        <f t="shared" si="25"/>
        <v>Excelsa</v>
      </c>
      <c r="O530" t="str">
        <f t="shared" si="26"/>
        <v>Light</v>
      </c>
      <c r="P530" t="str">
        <f>_xlfn.XLOOKUP(Table1[[#This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IF(_xlfn.XLOOKUP(C531,customers!$A$1:$A$1001,customers!C530:C1530,,0)=0,"",_xlfn.XLOOKUP(C531,customers!$A$1:$A$1001,customers!C530:C1530,,0))</f>
        <v/>
      </c>
      <c r="H531" s="2" t="str">
        <f>_xlfn.XLOOKUP(orders!C531,customers!$A$1:$A$1001,customers!$G$1:$G$1001,,0)</f>
        <v>United States</v>
      </c>
      <c r="I531" t="str">
        <f>INDEX(products!$A$1:$G$49,MATCH(orders!$D531, products!$A$1:$A$49,0), MATCH(orders!I$1,products!$A$1:$G$1,0))</f>
        <v>Rob</v>
      </c>
      <c r="J531" t="str">
        <f>INDEX(products!$A$1:$G$49,MATCH(orders!$D531, products!$A$1:$A$49,0), MATCH(orders!J$1,products!$A$1:$G$1,0))</f>
        <v>M</v>
      </c>
      <c r="K531" s="4">
        <f>INDEX(products!$A$1:$G$49,MATCH(orders!$D531, products!$A$1:$A$49,0), MATCH(orders!K$1,products!$A$1:$G$1,0))</f>
        <v>1</v>
      </c>
      <c r="L531" s="5">
        <f>INDEX(products!$A$1:$G$49,MATCH(orders!$D531, products!$A$1:$A$49,0), MATCH(orders!L$1,products!$A$1:$G$1,0))</f>
        <v>9.9499999999999993</v>
      </c>
      <c r="M531" s="5">
        <f t="shared" si="24"/>
        <v>59.699999999999996</v>
      </c>
      <c r="N531" t="str">
        <f t="shared" si="25"/>
        <v>Robusta</v>
      </c>
      <c r="O531" t="str">
        <f t="shared" si="26"/>
        <v>Medium</v>
      </c>
      <c r="P531" t="str">
        <f>_xlfn.XLOOKUP(Table1[[#This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IF(_xlfn.XLOOKUP(C532,customers!$A$1:$A$1001,customers!C531:C1531,,0)=0,"",_xlfn.XLOOKUP(C532,customers!$A$1:$A$1001,customers!C531:C1531,,0))</f>
        <v/>
      </c>
      <c r="H532" s="2" t="str">
        <f>_xlfn.XLOOKUP(orders!C532,customers!$A$1:$A$1001,customers!$G$1:$G$1001,,0)</f>
        <v>United States</v>
      </c>
      <c r="I532" t="str">
        <f>INDEX(products!$A$1:$G$49,MATCH(orders!$D532, products!$A$1:$A$49,0), MATCH(orders!I$1,products!$A$1:$G$1,0))</f>
        <v>Rob</v>
      </c>
      <c r="J532" t="str">
        <f>INDEX(products!$A$1:$G$49,MATCH(orders!$D532, products!$A$1:$A$49,0), MATCH(orders!J$1,products!$A$1:$G$1,0))</f>
        <v>M</v>
      </c>
      <c r="K532" s="4">
        <f>INDEX(products!$A$1:$G$49,MATCH(orders!$D532, products!$A$1:$A$49,0), MATCH(orders!K$1,products!$A$1:$G$1,0))</f>
        <v>1</v>
      </c>
      <c r="L532" s="5">
        <f>INDEX(products!$A$1:$G$49,MATCH(orders!$D532, products!$A$1:$A$49,0), MATCH(orders!L$1,products!$A$1:$G$1,0))</f>
        <v>9.9499999999999993</v>
      </c>
      <c r="M532" s="5">
        <f t="shared" si="24"/>
        <v>59.699999999999996</v>
      </c>
      <c r="N532" t="str">
        <f t="shared" si="25"/>
        <v>Robusta</v>
      </c>
      <c r="O532" t="str">
        <f t="shared" si="26"/>
        <v>Medium</v>
      </c>
      <c r="P532" t="str">
        <f>_xlfn.XLOOKUP(Table1[[#This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IF(_xlfn.XLOOKUP(C533,customers!$A$1:$A$1001,customers!C532:C1532,,0)=0,"",_xlfn.XLOOKUP(C533,customers!$A$1:$A$1001,customers!C532:C1532,,0))</f>
        <v/>
      </c>
      <c r="H533" s="2" t="str">
        <f>_xlfn.XLOOKUP(orders!C533,customers!$A$1:$A$1001,customers!$G$1:$G$1001,,0)</f>
        <v>United States</v>
      </c>
      <c r="I533" t="str">
        <f>INDEX(products!$A$1:$G$49,MATCH(orders!$D533, products!$A$1:$A$49,0), MATCH(orders!I$1,products!$A$1:$G$1,0))</f>
        <v>Rob</v>
      </c>
      <c r="J533" t="str">
        <f>INDEX(products!$A$1:$G$49,MATCH(orders!$D533, products!$A$1:$A$49,0), MATCH(orders!J$1,products!$A$1:$G$1,0))</f>
        <v>D</v>
      </c>
      <c r="K533" s="4">
        <f>INDEX(products!$A$1:$G$49,MATCH(orders!$D533, products!$A$1:$A$49,0), MATCH(orders!K$1,products!$A$1:$G$1,0))</f>
        <v>1</v>
      </c>
      <c r="L533" s="5">
        <f>INDEX(products!$A$1:$G$49,MATCH(orders!$D533, products!$A$1:$A$49,0), MATCH(orders!L$1,products!$A$1:$G$1,0))</f>
        <v>8.9499999999999993</v>
      </c>
      <c r="M533" s="5">
        <f t="shared" si="24"/>
        <v>44.75</v>
      </c>
      <c r="N533" t="str">
        <f t="shared" si="25"/>
        <v>Robusta</v>
      </c>
      <c r="O533" t="str">
        <f t="shared" si="26"/>
        <v>Dark</v>
      </c>
      <c r="P533" t="str">
        <f>_xlfn.XLOOKUP(Table1[[#This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IF(_xlfn.XLOOKUP(C534,customers!$A$1:$A$1001,customers!C533:C1533,,0)=0,"",_xlfn.XLOOKUP(C534,customers!$A$1:$A$1001,customers!C533:C1533,,0))</f>
        <v/>
      </c>
      <c r="H534" s="2" t="str">
        <f>_xlfn.XLOOKUP(orders!C534,customers!$A$1:$A$1001,customers!$G$1:$G$1001,,0)</f>
        <v>United States</v>
      </c>
      <c r="I534" t="str">
        <f>INDEX(products!$A$1:$G$49,MATCH(orders!$D534, products!$A$1:$A$49,0), MATCH(orders!I$1,products!$A$1:$G$1,0))</f>
        <v>Exc</v>
      </c>
      <c r="J534" t="str">
        <f>INDEX(products!$A$1:$G$49,MATCH(orders!$D534, products!$A$1:$A$49,0), MATCH(orders!J$1,products!$A$1:$G$1,0))</f>
        <v>M</v>
      </c>
      <c r="K534" s="4">
        <f>INDEX(products!$A$1:$G$49,MATCH(orders!$D534, products!$A$1:$A$49,0), MATCH(orders!K$1,products!$A$1:$G$1,0))</f>
        <v>0.5</v>
      </c>
      <c r="L534" s="5">
        <f>INDEX(products!$A$1:$G$49,MATCH(orders!$D534, products!$A$1:$A$49,0), MATCH(orders!L$1,products!$A$1:$G$1,0))</f>
        <v>8.25</v>
      </c>
      <c r="M534" s="5">
        <f t="shared" si="24"/>
        <v>16.5</v>
      </c>
      <c r="N534" t="str">
        <f t="shared" si="25"/>
        <v>Excelsa</v>
      </c>
      <c r="O534" t="str">
        <f t="shared" si="26"/>
        <v>Medium</v>
      </c>
      <c r="P534" t="str">
        <f>_xlfn.XLOOKUP(Table1[[#This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IF(_xlfn.XLOOKUP(C535,customers!$A$1:$A$1001,customers!C534:C1534,,0)=0,"",_xlfn.XLOOKUP(C535,customers!$A$1:$A$1001,customers!C534:C1534,,0))</f>
        <v/>
      </c>
      <c r="H535" s="2" t="str">
        <f>_xlfn.XLOOKUP(orders!C535,customers!$A$1:$A$1001,customers!$G$1:$G$1001,,0)</f>
        <v>United States</v>
      </c>
      <c r="I535" t="str">
        <f>INDEX(products!$A$1:$G$49,MATCH(orders!$D535, products!$A$1:$A$49,0), MATCH(orders!I$1,products!$A$1:$G$1,0))</f>
        <v>Rob</v>
      </c>
      <c r="J535" t="str">
        <f>INDEX(products!$A$1:$G$49,MATCH(orders!$D535, products!$A$1:$A$49,0), MATCH(orders!J$1,products!$A$1:$G$1,0))</f>
        <v>D</v>
      </c>
      <c r="K535" s="4">
        <f>INDEX(products!$A$1:$G$49,MATCH(orders!$D535, products!$A$1:$A$49,0), MATCH(orders!K$1,products!$A$1:$G$1,0))</f>
        <v>0.5</v>
      </c>
      <c r="L535" s="5">
        <f>INDEX(products!$A$1:$G$49,MATCH(orders!$D535, products!$A$1:$A$49,0), MATCH(orders!L$1,products!$A$1:$G$1,0))</f>
        <v>5.3699999999999992</v>
      </c>
      <c r="M535" s="5">
        <f t="shared" si="24"/>
        <v>21.479999999999997</v>
      </c>
      <c r="N535" t="str">
        <f t="shared" si="25"/>
        <v>Robusta</v>
      </c>
      <c r="O535" t="str">
        <f t="shared" si="26"/>
        <v>Dark</v>
      </c>
      <c r="P535" t="str">
        <f>_xlfn.XLOOKUP(Table1[[#This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IF(_xlfn.XLOOKUP(C536,customers!$A$1:$A$1001,customers!C535:C1535,,0)=0,"",_xlfn.XLOOKUP(C536,customers!$A$1:$A$1001,customers!C535:C1535,,0))</f>
        <v/>
      </c>
      <c r="H536" s="2" t="str">
        <f>_xlfn.XLOOKUP(orders!C536,customers!$A$1:$A$1001,customers!$G$1:$G$1001,,0)</f>
        <v>Ireland</v>
      </c>
      <c r="I536" t="str">
        <f>INDEX(products!$A$1:$G$49,MATCH(orders!$D536, products!$A$1:$A$49,0), MATCH(orders!I$1,products!$A$1:$G$1,0))</f>
        <v>Rob</v>
      </c>
      <c r="J536" t="str">
        <f>INDEX(products!$A$1:$G$49,MATCH(orders!$D536, products!$A$1:$A$49,0), MATCH(orders!J$1,products!$A$1:$G$1,0))</f>
        <v>M</v>
      </c>
      <c r="K536" s="4">
        <f>INDEX(products!$A$1:$G$49,MATCH(orders!$D536, products!$A$1:$A$49,0), MATCH(orders!K$1,products!$A$1:$G$1,0))</f>
        <v>2.5</v>
      </c>
      <c r="L536" s="5">
        <f>INDEX(products!$A$1:$G$49,MATCH(orders!$D536, products!$A$1:$A$49,0), MATCH(orders!L$1,products!$A$1:$G$1,0))</f>
        <v>22.884999999999998</v>
      </c>
      <c r="M536" s="5">
        <f t="shared" si="24"/>
        <v>45.769999999999996</v>
      </c>
      <c r="N536" t="str">
        <f t="shared" si="25"/>
        <v>Robusta</v>
      </c>
      <c r="O536" t="str">
        <f t="shared" si="26"/>
        <v>Medium</v>
      </c>
      <c r="P536" t="str">
        <f>_xlfn.XLOOKUP(Table1[[#This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IF(_xlfn.XLOOKUP(C537,customers!$A$1:$A$1001,customers!C536:C1536,,0)=0,"",_xlfn.XLOOKUP(C537,customers!$A$1:$A$1001,customers!C536:C1536,,0))</f>
        <v/>
      </c>
      <c r="H537" s="2" t="str">
        <f>_xlfn.XLOOKUP(orders!C537,customers!$A$1:$A$1001,customers!$G$1:$G$1001,,0)</f>
        <v>Ireland</v>
      </c>
      <c r="I537" t="str">
        <f>INDEX(products!$A$1:$G$49,MATCH(orders!$D537, products!$A$1:$A$49,0), MATCH(orders!I$1,products!$A$1:$G$1,0))</f>
        <v>Lib</v>
      </c>
      <c r="J537" t="str">
        <f>INDEX(products!$A$1:$G$49,MATCH(orders!$D537, products!$A$1:$A$49,0), MATCH(orders!J$1,products!$A$1:$G$1,0))</f>
        <v>L</v>
      </c>
      <c r="K537" s="4">
        <f>INDEX(products!$A$1:$G$49,MATCH(orders!$D537, products!$A$1:$A$49,0), MATCH(orders!K$1,products!$A$1:$G$1,0))</f>
        <v>0.2</v>
      </c>
      <c r="L537" s="5">
        <f>INDEX(products!$A$1:$G$49,MATCH(orders!$D537, products!$A$1:$A$49,0), MATCH(orders!L$1,products!$A$1:$G$1,0))</f>
        <v>4.7549999999999999</v>
      </c>
      <c r="M537" s="5">
        <f t="shared" si="24"/>
        <v>9.51</v>
      </c>
      <c r="N537" t="str">
        <f t="shared" si="25"/>
        <v>Liberica</v>
      </c>
      <c r="O537" t="str">
        <f t="shared" si="26"/>
        <v>Light</v>
      </c>
      <c r="P537" t="str">
        <f>_xlfn.XLOOKUP(Table1[[#This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IF(_xlfn.XLOOKUP(C538,customers!$A$1:$A$1001,customers!C537:C1537,,0)=0,"",_xlfn.XLOOKUP(C538,customers!$A$1:$A$1001,customers!C537:C1537,,0))</f>
        <v/>
      </c>
      <c r="H538" s="2" t="str">
        <f>_xlfn.XLOOKUP(orders!C538,customers!$A$1:$A$1001,customers!$G$1:$G$1001,,0)</f>
        <v>Ireland</v>
      </c>
      <c r="I538" t="str">
        <f>INDEX(products!$A$1:$G$49,MATCH(orders!$D538, products!$A$1:$A$49,0), MATCH(orders!I$1,products!$A$1:$G$1,0))</f>
        <v>Rob</v>
      </c>
      <c r="J538" t="str">
        <f>INDEX(products!$A$1:$G$49,MATCH(orders!$D538, products!$A$1:$A$49,0), MATCH(orders!J$1,products!$A$1:$G$1,0))</f>
        <v>D</v>
      </c>
      <c r="K538" s="4">
        <f>INDEX(products!$A$1:$G$49,MATCH(orders!$D538, products!$A$1:$A$49,0), MATCH(orders!K$1,products!$A$1:$G$1,0))</f>
        <v>0.2</v>
      </c>
      <c r="L538" s="5">
        <f>INDEX(products!$A$1:$G$49,MATCH(orders!$D538, products!$A$1:$A$49,0), MATCH(orders!L$1,products!$A$1:$G$1,0))</f>
        <v>2.6849999999999996</v>
      </c>
      <c r="M538" s="5">
        <f t="shared" si="24"/>
        <v>8.0549999999999997</v>
      </c>
      <c r="N538" t="str">
        <f t="shared" si="25"/>
        <v>Robusta</v>
      </c>
      <c r="O538" t="str">
        <f t="shared" si="26"/>
        <v>Dark</v>
      </c>
      <c r="P538" t="str">
        <f>_xlfn.XLOOKUP(Table1[[#This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IF(_xlfn.XLOOKUP(C539,customers!$A$1:$A$1001,customers!C538:C1538,,0)=0,"",_xlfn.XLOOKUP(C539,customers!$A$1:$A$1001,customers!C538:C1538,,0))</f>
        <v/>
      </c>
      <c r="H539" s="2" t="str">
        <f>_xlfn.XLOOKUP(orders!C539,customers!$A$1:$A$1001,customers!$G$1:$G$1001,,0)</f>
        <v>United States</v>
      </c>
      <c r="I539" t="str">
        <f>INDEX(products!$A$1:$G$49,MATCH(orders!$D539, products!$A$1:$A$49,0), MATCH(orders!I$1,products!$A$1:$G$1,0))</f>
        <v>Exc</v>
      </c>
      <c r="J539" t="str">
        <f>INDEX(products!$A$1:$G$49,MATCH(orders!$D539, products!$A$1:$A$49,0), MATCH(orders!J$1,products!$A$1:$G$1,0))</f>
        <v>D</v>
      </c>
      <c r="K539" s="4">
        <f>INDEX(products!$A$1:$G$49,MATCH(orders!$D539, products!$A$1:$A$49,0), MATCH(orders!K$1,products!$A$1:$G$1,0))</f>
        <v>2.5</v>
      </c>
      <c r="L539" s="5">
        <f>INDEX(products!$A$1:$G$49,MATCH(orders!$D539, products!$A$1:$A$49,0), MATCH(orders!L$1,products!$A$1:$G$1,0))</f>
        <v>27.945</v>
      </c>
      <c r="M539" s="5">
        <f t="shared" si="24"/>
        <v>111.78</v>
      </c>
      <c r="N539" t="str">
        <f t="shared" si="25"/>
        <v>Excelsa</v>
      </c>
      <c r="O539" t="str">
        <f t="shared" si="26"/>
        <v>Dark</v>
      </c>
      <c r="P539" t="str">
        <f>_xlfn.XLOOKUP(Table1[[#This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IF(_xlfn.XLOOKUP(C540,customers!$A$1:$A$1001,customers!C539:C1539,,0)=0,"",_xlfn.XLOOKUP(C540,customers!$A$1:$A$1001,customers!C539:C1539,,0))</f>
        <v/>
      </c>
      <c r="H540" s="2" t="str">
        <f>_xlfn.XLOOKUP(orders!C540,customers!$A$1:$A$1001,customers!$G$1:$G$1001,,0)</f>
        <v>United States</v>
      </c>
      <c r="I540" t="str">
        <f>INDEX(products!$A$1:$G$49,MATCH(orders!$D540, products!$A$1:$A$49,0), MATCH(orders!I$1,products!$A$1:$G$1,0))</f>
        <v>Rob</v>
      </c>
      <c r="J540" t="str">
        <f>INDEX(products!$A$1:$G$49,MATCH(orders!$D540, products!$A$1:$A$49,0), MATCH(orders!J$1,products!$A$1:$G$1,0))</f>
        <v>D</v>
      </c>
      <c r="K540" s="4">
        <f>INDEX(products!$A$1:$G$49,MATCH(orders!$D540, products!$A$1:$A$49,0), MATCH(orders!K$1,products!$A$1:$G$1,0))</f>
        <v>0.2</v>
      </c>
      <c r="L540" s="5">
        <f>INDEX(products!$A$1:$G$49,MATCH(orders!$D540, products!$A$1:$A$49,0), MATCH(orders!L$1,products!$A$1:$G$1,0))</f>
        <v>2.6849999999999996</v>
      </c>
      <c r="M540" s="5">
        <f t="shared" si="24"/>
        <v>10.739999999999998</v>
      </c>
      <c r="N540" t="str">
        <f t="shared" si="25"/>
        <v>Robusta</v>
      </c>
      <c r="O540" t="str">
        <f t="shared" si="26"/>
        <v>Dark</v>
      </c>
      <c r="P540" t="str">
        <f>_xlfn.XLOOKUP(Table1[[#This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IF(_xlfn.XLOOKUP(C541,customers!$A$1:$A$1001,customers!C540:C1540,,0)=0,"",_xlfn.XLOOKUP(C541,customers!$A$1:$A$1001,customers!C540:C1540,,0))</f>
        <v/>
      </c>
      <c r="H541" s="2" t="str">
        <f>_xlfn.XLOOKUP(orders!C541,customers!$A$1:$A$1001,customers!$G$1:$G$1001,,0)</f>
        <v>United States</v>
      </c>
      <c r="I541" t="str">
        <f>INDEX(products!$A$1:$G$49,MATCH(orders!$D541, products!$A$1:$A$49,0), MATCH(orders!I$1,products!$A$1:$G$1,0))</f>
        <v>Rob</v>
      </c>
      <c r="J541" t="str">
        <f>INDEX(products!$A$1:$G$49,MATCH(orders!$D541, products!$A$1:$A$49,0), MATCH(orders!J$1,products!$A$1:$G$1,0))</f>
        <v>D</v>
      </c>
      <c r="K541" s="4">
        <f>INDEX(products!$A$1:$G$49,MATCH(orders!$D541, products!$A$1:$A$49,0), MATCH(orders!K$1,products!$A$1:$G$1,0))</f>
        <v>0.5</v>
      </c>
      <c r="L541" s="5">
        <f>INDEX(products!$A$1:$G$49,MATCH(orders!$D541, products!$A$1:$A$49,0), MATCH(orders!L$1,products!$A$1:$G$1,0))</f>
        <v>5.3699999999999992</v>
      </c>
      <c r="M541" s="5">
        <f t="shared" si="24"/>
        <v>26.849999999999994</v>
      </c>
      <c r="N541" t="str">
        <f t="shared" si="25"/>
        <v>Robusta</v>
      </c>
      <c r="O541" t="str">
        <f t="shared" si="26"/>
        <v>Dark</v>
      </c>
      <c r="P541" t="str">
        <f>_xlfn.XLOOKUP(Table1[[#This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IF(_xlfn.XLOOKUP(C542,customers!$A$1:$A$1001,customers!C541:C1541,,0)=0,"",_xlfn.XLOOKUP(C542,customers!$A$1:$A$1001,customers!C541:C1541,,0))</f>
        <v/>
      </c>
      <c r="H542" s="2" t="str">
        <f>_xlfn.XLOOKUP(orders!C542,customers!$A$1:$A$1001,customers!$G$1:$G$1001,,0)</f>
        <v>United States</v>
      </c>
      <c r="I542" t="str">
        <f>INDEX(products!$A$1:$G$49,MATCH(orders!$D542, products!$A$1:$A$49,0), MATCH(orders!I$1,products!$A$1:$G$1,0))</f>
        <v>Lib</v>
      </c>
      <c r="J542" t="str">
        <f>INDEX(products!$A$1:$G$49,MATCH(orders!$D542, products!$A$1:$A$49,0), MATCH(orders!J$1,products!$A$1:$G$1,0))</f>
        <v>L</v>
      </c>
      <c r="K542" s="4">
        <f>INDEX(products!$A$1:$G$49,MATCH(orders!$D542, products!$A$1:$A$49,0), MATCH(orders!K$1,products!$A$1:$G$1,0))</f>
        <v>1</v>
      </c>
      <c r="L542" s="5">
        <f>INDEX(products!$A$1:$G$49,MATCH(orders!$D542, products!$A$1:$A$49,0), MATCH(orders!L$1,products!$A$1:$G$1,0))</f>
        <v>15.85</v>
      </c>
      <c r="M542" s="5">
        <f t="shared" si="24"/>
        <v>63.4</v>
      </c>
      <c r="N542" t="str">
        <f t="shared" si="25"/>
        <v>Liberica</v>
      </c>
      <c r="O542" t="str">
        <f t="shared" si="26"/>
        <v>Light</v>
      </c>
      <c r="P542" t="str">
        <f>_xlfn.XLOOKUP(Table1[[#This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IF(_xlfn.XLOOKUP(C543,customers!$A$1:$A$1001,customers!C542:C1542,,0)=0,"",_xlfn.XLOOKUP(C543,customers!$A$1:$A$1001,customers!C542:C1542,,0))</f>
        <v/>
      </c>
      <c r="H543" s="2" t="str">
        <f>_xlfn.XLOOKUP(orders!C543,customers!$A$1:$A$1001,customers!$G$1:$G$1001,,0)</f>
        <v>Ireland</v>
      </c>
      <c r="I543" t="str">
        <f>INDEX(products!$A$1:$G$49,MATCH(orders!$D543, products!$A$1:$A$49,0), MATCH(orders!I$1,products!$A$1:$G$1,0))</f>
        <v>Ara</v>
      </c>
      <c r="J543" t="str">
        <f>INDEX(products!$A$1:$G$49,MATCH(orders!$D543, products!$A$1:$A$49,0), MATCH(orders!J$1,products!$A$1:$G$1,0))</f>
        <v>D</v>
      </c>
      <c r="K543" s="4">
        <f>INDEX(products!$A$1:$G$49,MATCH(orders!$D543, products!$A$1:$A$49,0), MATCH(orders!K$1,products!$A$1:$G$1,0))</f>
        <v>2.5</v>
      </c>
      <c r="L543" s="5">
        <f>INDEX(products!$A$1:$G$49,MATCH(orders!$D543, products!$A$1:$A$49,0), MATCH(orders!L$1,products!$A$1:$G$1,0))</f>
        <v>22.884999999999998</v>
      </c>
      <c r="M543" s="5">
        <f t="shared" si="24"/>
        <v>22.884999999999998</v>
      </c>
      <c r="N543" t="str">
        <f t="shared" si="25"/>
        <v>Arabica</v>
      </c>
      <c r="O543" t="str">
        <f t="shared" si="26"/>
        <v>Dark</v>
      </c>
      <c r="P543" t="str">
        <f>_xlfn.XLOOKUP(Table1[[#This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IF(_xlfn.XLOOKUP(C544,customers!$A$1:$A$1001,customers!C543:C1543,,0)=0,"",_xlfn.XLOOKUP(C544,customers!$A$1:$A$1001,customers!C543:C1543,,0))</f>
        <v/>
      </c>
      <c r="H544" s="2" t="str">
        <f>_xlfn.XLOOKUP(orders!C544,customers!$A$1:$A$1001,customers!$G$1:$G$1001,,0)</f>
        <v>United States</v>
      </c>
      <c r="I544" t="str">
        <f>INDEX(products!$A$1:$G$49,MATCH(orders!$D544, products!$A$1:$A$49,0), MATCH(orders!I$1,products!$A$1:$G$1,0))</f>
        <v>Ara</v>
      </c>
      <c r="J544" t="str">
        <f>INDEX(products!$A$1:$G$49,MATCH(orders!$D544, products!$A$1:$A$49,0), MATCH(orders!J$1,products!$A$1:$G$1,0))</f>
        <v>M</v>
      </c>
      <c r="K544" s="4">
        <f>INDEX(products!$A$1:$G$49,MATCH(orders!$D544, products!$A$1:$A$49,0), MATCH(orders!K$1,products!$A$1:$G$1,0))</f>
        <v>2.5</v>
      </c>
      <c r="L544" s="5">
        <f>INDEX(products!$A$1:$G$49,MATCH(orders!$D544, products!$A$1:$A$49,0), MATCH(orders!L$1,products!$A$1:$G$1,0))</f>
        <v>25.874999999999996</v>
      </c>
      <c r="M544" s="5">
        <f t="shared" si="24"/>
        <v>103.49999999999999</v>
      </c>
      <c r="N544" t="str">
        <f t="shared" si="25"/>
        <v>Arabica</v>
      </c>
      <c r="O544" t="str">
        <f t="shared" si="26"/>
        <v>Medium</v>
      </c>
      <c r="P544" t="str">
        <f>_xlfn.XLOOKUP(Table1[[#This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IF(_xlfn.XLOOKUP(C545,customers!$A$1:$A$1001,customers!C544:C1544,,0)=0,"",_xlfn.XLOOKUP(C545,customers!$A$1:$A$1001,customers!C544:C1544,,0))</f>
        <v/>
      </c>
      <c r="H545" s="2" t="str">
        <f>_xlfn.XLOOKUP(orders!C545,customers!$A$1:$A$1001,customers!$G$1:$G$1001,,0)</f>
        <v>United States</v>
      </c>
      <c r="I545" t="str">
        <f>INDEX(products!$A$1:$G$49,MATCH(orders!$D545, products!$A$1:$A$49,0), MATCH(orders!I$1,products!$A$1:$G$1,0))</f>
        <v>Rob</v>
      </c>
      <c r="J545" t="str">
        <f>INDEX(products!$A$1:$G$49,MATCH(orders!$D545, products!$A$1:$A$49,0), MATCH(orders!J$1,products!$A$1:$G$1,0))</f>
        <v>L</v>
      </c>
      <c r="K545" s="4">
        <f>INDEX(products!$A$1:$G$49,MATCH(orders!$D545, products!$A$1:$A$49,0), MATCH(orders!K$1,products!$A$1:$G$1,0))</f>
        <v>2.5</v>
      </c>
      <c r="L545" s="5">
        <f>INDEX(products!$A$1:$G$49,MATCH(orders!$D545, products!$A$1:$A$49,0), MATCH(orders!L$1,products!$A$1:$G$1,0))</f>
        <v>27.484999999999996</v>
      </c>
      <c r="M545" s="5">
        <f t="shared" si="24"/>
        <v>54.969999999999992</v>
      </c>
      <c r="N545" t="str">
        <f t="shared" si="25"/>
        <v>Robusta</v>
      </c>
      <c r="O545" t="str">
        <f t="shared" si="26"/>
        <v>Light</v>
      </c>
      <c r="P545" t="str">
        <f>_xlfn.XLOOKUP(Table1[[#This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IF(_xlfn.XLOOKUP(C546,customers!$A$1:$A$1001,customers!C545:C1545,,0)=0,"",_xlfn.XLOOKUP(C546,customers!$A$1:$A$1001,customers!C545:C1545,,0))</f>
        <v/>
      </c>
      <c r="H546" s="2" t="str">
        <f>_xlfn.XLOOKUP(orders!C546,customers!$A$1:$A$1001,customers!$G$1:$G$1001,,0)</f>
        <v>United States</v>
      </c>
      <c r="I546" t="str">
        <f>INDEX(products!$A$1:$G$49,MATCH(orders!$D546, products!$A$1:$A$49,0), MATCH(orders!I$1,products!$A$1:$G$1,0))</f>
        <v>Ara</v>
      </c>
      <c r="J546" t="str">
        <f>INDEX(products!$A$1:$G$49,MATCH(orders!$D546, products!$A$1:$A$49,0), MATCH(orders!J$1,products!$A$1:$G$1,0))</f>
        <v>L</v>
      </c>
      <c r="K546" s="4">
        <f>INDEX(products!$A$1:$G$49,MATCH(orders!$D546, products!$A$1:$A$49,0), MATCH(orders!K$1,products!$A$1:$G$1,0))</f>
        <v>0.5</v>
      </c>
      <c r="L546" s="5">
        <f>INDEX(products!$A$1:$G$49,MATCH(orders!$D546, products!$A$1:$A$49,0), MATCH(orders!L$1,products!$A$1:$G$1,0))</f>
        <v>7.77</v>
      </c>
      <c r="M546" s="5">
        <f t="shared" si="24"/>
        <v>15.54</v>
      </c>
      <c r="N546" t="str">
        <f t="shared" si="25"/>
        <v>Arabica</v>
      </c>
      <c r="O546" t="str">
        <f t="shared" si="26"/>
        <v>Light</v>
      </c>
      <c r="P546" t="str">
        <f>_xlfn.XLOOKUP(Table1[[#This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IF(_xlfn.XLOOKUP(C547,customers!$A$1:$A$1001,customers!C546:C1546,,0)=0,"",_xlfn.XLOOKUP(C547,customers!$A$1:$A$1001,customers!C546:C1546,,0))</f>
        <v/>
      </c>
      <c r="H547" s="2" t="str">
        <f>_xlfn.XLOOKUP(orders!C547,customers!$A$1:$A$1001,customers!$G$1:$G$1001,,0)</f>
        <v>United Kingdom</v>
      </c>
      <c r="I547" t="str">
        <f>INDEX(products!$A$1:$G$49,MATCH(orders!$D547, products!$A$1:$A$49,0), MATCH(orders!I$1,products!$A$1:$G$1,0))</f>
        <v>Lib</v>
      </c>
      <c r="J547" t="str">
        <f>INDEX(products!$A$1:$G$49,MATCH(orders!$D547, products!$A$1:$A$49,0), MATCH(orders!J$1,products!$A$1:$G$1,0))</f>
        <v>D</v>
      </c>
      <c r="K547" s="4">
        <f>INDEX(products!$A$1:$G$49,MATCH(orders!$D547, products!$A$1:$A$49,0), MATCH(orders!K$1,products!$A$1:$G$1,0))</f>
        <v>0.2</v>
      </c>
      <c r="L547" s="5">
        <f>INDEX(products!$A$1:$G$49,MATCH(orders!$D547, products!$A$1:$A$49,0), MATCH(orders!L$1,products!$A$1:$G$1,0))</f>
        <v>3.8849999999999998</v>
      </c>
      <c r="M547" s="5">
        <f t="shared" si="24"/>
        <v>15.54</v>
      </c>
      <c r="N547" t="str">
        <f t="shared" si="25"/>
        <v>Liberica</v>
      </c>
      <c r="O547" t="str">
        <f t="shared" si="26"/>
        <v>Dark</v>
      </c>
      <c r="P547" t="str">
        <f>_xlfn.XLOOKUP(Table1[[#This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IF(_xlfn.XLOOKUP(C548,customers!$A$1:$A$1001,customers!C547:C1547,,0)=0,"",_xlfn.XLOOKUP(C548,customers!$A$1:$A$1001,customers!C547:C1547,,0))</f>
        <v/>
      </c>
      <c r="H548" s="2" t="str">
        <f>_xlfn.XLOOKUP(orders!C548,customers!$A$1:$A$1001,customers!$G$1:$G$1001,,0)</f>
        <v>Ireland</v>
      </c>
      <c r="I548" t="str">
        <f>INDEX(products!$A$1:$G$49,MATCH(orders!$D548, products!$A$1:$A$49,0), MATCH(orders!I$1,products!$A$1:$G$1,0))</f>
        <v>Exc</v>
      </c>
      <c r="J548" t="str">
        <f>INDEX(products!$A$1:$G$49,MATCH(orders!$D548, products!$A$1:$A$49,0), MATCH(orders!J$1,products!$A$1:$G$1,0))</f>
        <v>D</v>
      </c>
      <c r="K548" s="4">
        <f>INDEX(products!$A$1:$G$49,MATCH(orders!$D548, products!$A$1:$A$49,0), MATCH(orders!K$1,products!$A$1:$G$1,0))</f>
        <v>2.5</v>
      </c>
      <c r="L548" s="5">
        <f>INDEX(products!$A$1:$G$49,MATCH(orders!$D548, products!$A$1:$A$49,0), MATCH(orders!L$1,products!$A$1:$G$1,0))</f>
        <v>27.945</v>
      </c>
      <c r="M548" s="5">
        <f t="shared" si="24"/>
        <v>83.835000000000008</v>
      </c>
      <c r="N548" t="str">
        <f t="shared" si="25"/>
        <v>Excelsa</v>
      </c>
      <c r="O548" t="str">
        <f t="shared" si="26"/>
        <v>Dark</v>
      </c>
      <c r="P548" t="str">
        <f>_xlfn.XLOOKUP(Table1[[#This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IF(_xlfn.XLOOKUP(C549,customers!$A$1:$A$1001,customers!C548:C1548,,0)=0,"",_xlfn.XLOOKUP(C549,customers!$A$1:$A$1001,customers!C548:C1548,,0))</f>
        <v/>
      </c>
      <c r="H549" s="2" t="str">
        <f>_xlfn.XLOOKUP(orders!C549,customers!$A$1:$A$1001,customers!$G$1:$G$1001,,0)</f>
        <v>United States</v>
      </c>
      <c r="I549" t="str">
        <f>INDEX(products!$A$1:$G$49,MATCH(orders!$D549, products!$A$1:$A$49,0), MATCH(orders!I$1,products!$A$1:$G$1,0))</f>
        <v>Rob</v>
      </c>
      <c r="J549" t="str">
        <f>INDEX(products!$A$1:$G$49,MATCH(orders!$D549, products!$A$1:$A$49,0), MATCH(orders!J$1,products!$A$1:$G$1,0))</f>
        <v>L</v>
      </c>
      <c r="K549" s="4">
        <f>INDEX(products!$A$1:$G$49,MATCH(orders!$D549, products!$A$1:$A$49,0), MATCH(orders!K$1,products!$A$1:$G$1,0))</f>
        <v>0.2</v>
      </c>
      <c r="L549" s="5">
        <f>INDEX(products!$A$1:$G$49,MATCH(orders!$D549, products!$A$1:$A$49,0), MATCH(orders!L$1,products!$A$1:$G$1,0))</f>
        <v>3.5849999999999995</v>
      </c>
      <c r="M549" s="5">
        <f t="shared" si="24"/>
        <v>10.754999999999999</v>
      </c>
      <c r="N549" t="str">
        <f t="shared" si="25"/>
        <v>Robusta</v>
      </c>
      <c r="O549" t="str">
        <f t="shared" si="26"/>
        <v>Light</v>
      </c>
      <c r="P549" t="str">
        <f>_xlfn.XLOOKUP(Table1[[#This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IF(_xlfn.XLOOKUP(C550,customers!$A$1:$A$1001,customers!C549:C1549,,0)=0,"",_xlfn.XLOOKUP(C550,customers!$A$1:$A$1001,customers!C549:C1549,,0))</f>
        <v/>
      </c>
      <c r="H550" s="2" t="str">
        <f>_xlfn.XLOOKUP(orders!C550,customers!$A$1:$A$1001,customers!$G$1:$G$1001,,0)</f>
        <v>United States</v>
      </c>
      <c r="I550" t="str">
        <f>INDEX(products!$A$1:$G$49,MATCH(orders!$D550, products!$A$1:$A$49,0), MATCH(orders!I$1,products!$A$1:$G$1,0))</f>
        <v>Exc</v>
      </c>
      <c r="J550" t="str">
        <f>INDEX(products!$A$1:$G$49,MATCH(orders!$D550, products!$A$1:$A$49,0), MATCH(orders!J$1,products!$A$1:$G$1,0))</f>
        <v>L</v>
      </c>
      <c r="K550" s="4">
        <f>INDEX(products!$A$1:$G$49,MATCH(orders!$D550, products!$A$1:$A$49,0), MATCH(orders!K$1,products!$A$1:$G$1,0))</f>
        <v>0.2</v>
      </c>
      <c r="L550" s="5">
        <f>INDEX(products!$A$1:$G$49,MATCH(orders!$D550, products!$A$1:$A$49,0), MATCH(orders!L$1,products!$A$1:$G$1,0))</f>
        <v>4.4550000000000001</v>
      </c>
      <c r="M550" s="5">
        <f t="shared" si="24"/>
        <v>13.365</v>
      </c>
      <c r="N550" t="str">
        <f t="shared" si="25"/>
        <v>Excelsa</v>
      </c>
      <c r="O550" t="str">
        <f t="shared" si="26"/>
        <v>Light</v>
      </c>
      <c r="P550" t="str">
        <f>_xlfn.XLOOKUP(Table1[[#This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IF(_xlfn.XLOOKUP(C551,customers!$A$1:$A$1001,customers!C550:C1550,,0)=0,"",_xlfn.XLOOKUP(C551,customers!$A$1:$A$1001,customers!C550:C1550,,0))</f>
        <v/>
      </c>
      <c r="H551" s="2" t="str">
        <f>_xlfn.XLOOKUP(orders!C551,customers!$A$1:$A$1001,customers!$G$1:$G$1001,,0)</f>
        <v>United States</v>
      </c>
      <c r="I551" t="str">
        <f>INDEX(products!$A$1:$G$49,MATCH(orders!$D551, products!$A$1:$A$49,0), MATCH(orders!I$1,products!$A$1:$G$1,0))</f>
        <v>Exc</v>
      </c>
      <c r="J551" t="str">
        <f>INDEX(products!$A$1:$G$49,MATCH(orders!$D551, products!$A$1:$A$49,0), MATCH(orders!J$1,products!$A$1:$G$1,0))</f>
        <v>L</v>
      </c>
      <c r="K551" s="4">
        <f>INDEX(products!$A$1:$G$49,MATCH(orders!$D551, products!$A$1:$A$49,0), MATCH(orders!K$1,products!$A$1:$G$1,0))</f>
        <v>0.2</v>
      </c>
      <c r="L551" s="5">
        <f>INDEX(products!$A$1:$G$49,MATCH(orders!$D551, products!$A$1:$A$49,0), MATCH(orders!L$1,products!$A$1:$G$1,0))</f>
        <v>4.4550000000000001</v>
      </c>
      <c r="M551" s="5">
        <f t="shared" si="24"/>
        <v>17.82</v>
      </c>
      <c r="N551" t="str">
        <f t="shared" si="25"/>
        <v>Excelsa</v>
      </c>
      <c r="O551" t="str">
        <f t="shared" si="26"/>
        <v>Light</v>
      </c>
      <c r="P551" t="str">
        <f>_xlfn.XLOOKUP(Table1[[#This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IF(_xlfn.XLOOKUP(C552,customers!$A$1:$A$1001,customers!C551:C1551,,0)=0,"",_xlfn.XLOOKUP(C552,customers!$A$1:$A$1001,customers!C551:C1551,,0))</f>
        <v/>
      </c>
      <c r="H552" s="2" t="str">
        <f>_xlfn.XLOOKUP(orders!C552,customers!$A$1:$A$1001,customers!$G$1:$G$1001,,0)</f>
        <v>United States</v>
      </c>
      <c r="I552" t="str">
        <f>INDEX(products!$A$1:$G$49,MATCH(orders!$D552, products!$A$1:$A$49,0), MATCH(orders!I$1,products!$A$1:$G$1,0))</f>
        <v>Lib</v>
      </c>
      <c r="J552" t="str">
        <f>INDEX(products!$A$1:$G$49,MATCH(orders!$D552, products!$A$1:$A$49,0), MATCH(orders!J$1,products!$A$1:$G$1,0))</f>
        <v>D</v>
      </c>
      <c r="K552" s="4">
        <f>INDEX(products!$A$1:$G$49,MATCH(orders!$D552, products!$A$1:$A$49,0), MATCH(orders!K$1,products!$A$1:$G$1,0))</f>
        <v>0.2</v>
      </c>
      <c r="L552" s="5">
        <f>INDEX(products!$A$1:$G$49,MATCH(orders!$D552, products!$A$1:$A$49,0), MATCH(orders!L$1,products!$A$1:$G$1,0))</f>
        <v>3.8849999999999998</v>
      </c>
      <c r="M552" s="5">
        <f t="shared" si="24"/>
        <v>23.31</v>
      </c>
      <c r="N552" t="str">
        <f t="shared" si="25"/>
        <v>Liberica</v>
      </c>
      <c r="O552" t="str">
        <f t="shared" si="26"/>
        <v>Dark</v>
      </c>
      <c r="P552" t="str">
        <f>_xlfn.XLOOKUP(Table1[[#This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IF(_xlfn.XLOOKUP(C553,customers!$A$1:$A$1001,customers!C552:C1552,,0)=0,"",_xlfn.XLOOKUP(C553,customers!$A$1:$A$1001,customers!C552:C1552,,0))</f>
        <v/>
      </c>
      <c r="H553" s="2" t="str">
        <f>_xlfn.XLOOKUP(orders!C553,customers!$A$1:$A$1001,customers!$G$1:$G$1001,,0)</f>
        <v>United States</v>
      </c>
      <c r="I553" t="str">
        <f>INDEX(products!$A$1:$G$49,MATCH(orders!$D553, products!$A$1:$A$49,0), MATCH(orders!I$1,products!$A$1:$G$1,0))</f>
        <v>Exc</v>
      </c>
      <c r="J553" t="str">
        <f>INDEX(products!$A$1:$G$49,MATCH(orders!$D553, products!$A$1:$A$49,0), MATCH(orders!J$1,products!$A$1:$G$1,0))</f>
        <v>D</v>
      </c>
      <c r="K553" s="4">
        <f>INDEX(products!$A$1:$G$49,MATCH(orders!$D553, products!$A$1:$A$49,0), MATCH(orders!K$1,products!$A$1:$G$1,0))</f>
        <v>0.2</v>
      </c>
      <c r="L553" s="5">
        <f>INDEX(products!$A$1:$G$49,MATCH(orders!$D553, products!$A$1:$A$49,0), MATCH(orders!L$1,products!$A$1:$G$1,0))</f>
        <v>3.645</v>
      </c>
      <c r="M553" s="5">
        <f t="shared" si="24"/>
        <v>7.29</v>
      </c>
      <c r="N553" t="str">
        <f t="shared" si="25"/>
        <v>Excelsa</v>
      </c>
      <c r="O553" t="str">
        <f t="shared" si="26"/>
        <v>Dark</v>
      </c>
      <c r="P553" t="str">
        <f>_xlfn.XLOOKUP(Table1[[#This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IF(_xlfn.XLOOKUP(C554,customers!$A$1:$A$1001,customers!C553:C1553,,0)=0,"",_xlfn.XLOOKUP(C554,customers!$A$1:$A$1001,customers!C553:C1553,,0))</f>
        <v/>
      </c>
      <c r="H554" s="2" t="str">
        <f>_xlfn.XLOOKUP(orders!C554,customers!$A$1:$A$1001,customers!$G$1:$G$1001,,0)</f>
        <v>United Kingdom</v>
      </c>
      <c r="I554" t="str">
        <f>INDEX(products!$A$1:$G$49,MATCH(orders!$D554, products!$A$1:$A$49,0), MATCH(orders!I$1,products!$A$1:$G$1,0))</f>
        <v>Exc</v>
      </c>
      <c r="J554" t="str">
        <f>INDEX(products!$A$1:$G$49,MATCH(orders!$D554, products!$A$1:$A$49,0), MATCH(orders!J$1,products!$A$1:$G$1,0))</f>
        <v>L</v>
      </c>
      <c r="K554" s="4">
        <f>INDEX(products!$A$1:$G$49,MATCH(orders!$D554, products!$A$1:$A$49,0), MATCH(orders!K$1,products!$A$1:$G$1,0))</f>
        <v>0.2</v>
      </c>
      <c r="L554" s="5">
        <f>INDEX(products!$A$1:$G$49,MATCH(orders!$D554, products!$A$1:$A$49,0), MATCH(orders!L$1,products!$A$1:$G$1,0))</f>
        <v>4.4550000000000001</v>
      </c>
      <c r="M554" s="5">
        <f t="shared" si="24"/>
        <v>17.82</v>
      </c>
      <c r="N554" t="str">
        <f t="shared" si="25"/>
        <v>Excelsa</v>
      </c>
      <c r="O554" t="str">
        <f t="shared" si="26"/>
        <v>Light</v>
      </c>
      <c r="P554" t="str">
        <f>_xlfn.XLOOKUP(Table1[[#This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IF(_xlfn.XLOOKUP(C555,customers!$A$1:$A$1001,customers!C554:C1554,,0)=0,"",_xlfn.XLOOKUP(C555,customers!$A$1:$A$1001,customers!C554:C1554,,0))</f>
        <v/>
      </c>
      <c r="H555" s="2" t="str">
        <f>_xlfn.XLOOKUP(orders!C555,customers!$A$1:$A$1001,customers!$G$1:$G$1001,,0)</f>
        <v>United States</v>
      </c>
      <c r="I555" t="str">
        <f>INDEX(products!$A$1:$G$49,MATCH(orders!$D555, products!$A$1:$A$49,0), MATCH(orders!I$1,products!$A$1:$G$1,0))</f>
        <v>Exc</v>
      </c>
      <c r="J555" t="str">
        <f>INDEX(products!$A$1:$G$49,MATCH(orders!$D555, products!$A$1:$A$49,0), MATCH(orders!J$1,products!$A$1:$G$1,0))</f>
        <v>M</v>
      </c>
      <c r="K555" s="4">
        <f>INDEX(products!$A$1:$G$49,MATCH(orders!$D555, products!$A$1:$A$49,0), MATCH(orders!K$1,products!$A$1:$G$1,0))</f>
        <v>1</v>
      </c>
      <c r="L555" s="5">
        <f>INDEX(products!$A$1:$G$49,MATCH(orders!$D555, products!$A$1:$A$49,0), MATCH(orders!L$1,products!$A$1:$G$1,0))</f>
        <v>13.75</v>
      </c>
      <c r="M555" s="5">
        <f t="shared" si="24"/>
        <v>68.75</v>
      </c>
      <c r="N555" t="str">
        <f t="shared" si="25"/>
        <v>Excelsa</v>
      </c>
      <c r="O555" t="str">
        <f t="shared" si="26"/>
        <v>Medium</v>
      </c>
      <c r="P555" t="str">
        <f>_xlfn.XLOOKUP(Table1[[#This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IF(_xlfn.XLOOKUP(C556,customers!$A$1:$A$1001,customers!C555:C1555,,0)=0,"",_xlfn.XLOOKUP(C556,customers!$A$1:$A$1001,customers!C555:C1555,,0))</f>
        <v/>
      </c>
      <c r="H556" s="2" t="str">
        <f>_xlfn.XLOOKUP(orders!C556,customers!$A$1:$A$1001,customers!$G$1:$G$1001,,0)</f>
        <v>United Kingdom</v>
      </c>
      <c r="I556" t="str">
        <f>INDEX(products!$A$1:$G$49,MATCH(orders!$D556, products!$A$1:$A$49,0), MATCH(orders!I$1,products!$A$1:$G$1,0))</f>
        <v>Rob</v>
      </c>
      <c r="J556" t="str">
        <f>INDEX(products!$A$1:$G$49,MATCH(orders!$D556, products!$A$1:$A$49,0), MATCH(orders!J$1,products!$A$1:$G$1,0))</f>
        <v>L</v>
      </c>
      <c r="K556" s="4">
        <f>INDEX(products!$A$1:$G$49,MATCH(orders!$D556, products!$A$1:$A$49,0), MATCH(orders!K$1,products!$A$1:$G$1,0))</f>
        <v>2.5</v>
      </c>
      <c r="L556" s="5">
        <f>INDEX(products!$A$1:$G$49,MATCH(orders!$D556, products!$A$1:$A$49,0), MATCH(orders!L$1,products!$A$1:$G$1,0))</f>
        <v>27.484999999999996</v>
      </c>
      <c r="M556" s="5">
        <f t="shared" si="24"/>
        <v>54.969999999999992</v>
      </c>
      <c r="N556" t="str">
        <f t="shared" si="25"/>
        <v>Robusta</v>
      </c>
      <c r="O556" t="str">
        <f t="shared" si="26"/>
        <v>Light</v>
      </c>
      <c r="P556" t="str">
        <f>_xlfn.XLOOKUP(Table1[[#This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IF(_xlfn.XLOOKUP(C557,customers!$A$1:$A$1001,customers!C556:C1556,,0)=0,"",_xlfn.XLOOKUP(C557,customers!$A$1:$A$1001,customers!C556:C1556,,0))</f>
        <v/>
      </c>
      <c r="H557" s="2" t="str">
        <f>_xlfn.XLOOKUP(orders!C557,customers!$A$1:$A$1001,customers!$G$1:$G$1001,,0)</f>
        <v>Ireland</v>
      </c>
      <c r="I557" t="str">
        <f>INDEX(products!$A$1:$G$49,MATCH(orders!$D557, products!$A$1:$A$49,0), MATCH(orders!I$1,products!$A$1:$G$1,0))</f>
        <v>Exc</v>
      </c>
      <c r="J557" t="str">
        <f>INDEX(products!$A$1:$G$49,MATCH(orders!$D557, products!$A$1:$A$49,0), MATCH(orders!J$1,products!$A$1:$G$1,0))</f>
        <v>M</v>
      </c>
      <c r="K557" s="4">
        <f>INDEX(products!$A$1:$G$49,MATCH(orders!$D557, products!$A$1:$A$49,0), MATCH(orders!K$1,products!$A$1:$G$1,0))</f>
        <v>1</v>
      </c>
      <c r="L557" s="5">
        <f>INDEX(products!$A$1:$G$49,MATCH(orders!$D557, products!$A$1:$A$49,0), MATCH(orders!L$1,products!$A$1:$G$1,0))</f>
        <v>13.75</v>
      </c>
      <c r="M557" s="5">
        <f t="shared" si="24"/>
        <v>82.5</v>
      </c>
      <c r="N557" t="str">
        <f t="shared" si="25"/>
        <v>Excelsa</v>
      </c>
      <c r="O557" t="str">
        <f t="shared" si="26"/>
        <v>Medium</v>
      </c>
      <c r="P557" t="str">
        <f>_xlfn.XLOOKUP(Table1[[#This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IF(_xlfn.XLOOKUP(C558,customers!$A$1:$A$1001,customers!C557:C1557,,0)=0,"",_xlfn.XLOOKUP(C558,customers!$A$1:$A$1001,customers!C557:C1557,,0))</f>
        <v/>
      </c>
      <c r="H558" s="2" t="str">
        <f>_xlfn.XLOOKUP(orders!C558,customers!$A$1:$A$1001,customers!$G$1:$G$1001,,0)</f>
        <v>United States</v>
      </c>
      <c r="I558" t="str">
        <f>INDEX(products!$A$1:$G$49,MATCH(orders!$D558, products!$A$1:$A$49,0), MATCH(orders!I$1,products!$A$1:$G$1,0))</f>
        <v>Lib</v>
      </c>
      <c r="J558" t="str">
        <f>INDEX(products!$A$1:$G$49,MATCH(orders!$D558, products!$A$1:$A$49,0), MATCH(orders!J$1,products!$A$1:$G$1,0))</f>
        <v>M</v>
      </c>
      <c r="K558" s="4">
        <f>INDEX(products!$A$1:$G$49,MATCH(orders!$D558, products!$A$1:$A$49,0), MATCH(orders!K$1,products!$A$1:$G$1,0))</f>
        <v>0.2</v>
      </c>
      <c r="L558" s="5">
        <f>INDEX(products!$A$1:$G$49,MATCH(orders!$D558, products!$A$1:$A$49,0), MATCH(orders!L$1,products!$A$1:$G$1,0))</f>
        <v>4.3650000000000002</v>
      </c>
      <c r="M558" s="5">
        <f t="shared" si="24"/>
        <v>8.73</v>
      </c>
      <c r="N558" t="str">
        <f t="shared" si="25"/>
        <v>Liberica</v>
      </c>
      <c r="O558" t="str">
        <f t="shared" si="26"/>
        <v>Medium</v>
      </c>
      <c r="P558" t="str">
        <f>_xlfn.XLOOKUP(Table1[[#This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IF(_xlfn.XLOOKUP(C559,customers!$A$1:$A$1001,customers!C558:C1558,,0)=0,"",_xlfn.XLOOKUP(C559,customers!$A$1:$A$1001,customers!C558:C1558,,0))</f>
        <v/>
      </c>
      <c r="H559" s="2" t="str">
        <f>_xlfn.XLOOKUP(orders!C559,customers!$A$1:$A$1001,customers!$G$1:$G$1001,,0)</f>
        <v>Ireland</v>
      </c>
      <c r="I559" t="str">
        <f>INDEX(products!$A$1:$G$49,MATCH(orders!$D559, products!$A$1:$A$49,0), MATCH(orders!I$1,products!$A$1:$G$1,0))</f>
        <v>Exc</v>
      </c>
      <c r="J559" t="str">
        <f>INDEX(products!$A$1:$G$49,MATCH(orders!$D559, products!$A$1:$A$49,0), MATCH(orders!J$1,products!$A$1:$G$1,0))</f>
        <v>L</v>
      </c>
      <c r="K559" s="4">
        <f>INDEX(products!$A$1:$G$49,MATCH(orders!$D559, products!$A$1:$A$49,0), MATCH(orders!K$1,products!$A$1:$G$1,0))</f>
        <v>1</v>
      </c>
      <c r="L559" s="5">
        <f>INDEX(products!$A$1:$G$49,MATCH(orders!$D559, products!$A$1:$A$49,0), MATCH(orders!L$1,products!$A$1:$G$1,0))</f>
        <v>14.85</v>
      </c>
      <c r="M559" s="5">
        <f t="shared" si="24"/>
        <v>59.4</v>
      </c>
      <c r="N559" t="str">
        <f t="shared" si="25"/>
        <v>Excelsa</v>
      </c>
      <c r="O559" t="str">
        <f t="shared" si="26"/>
        <v>Light</v>
      </c>
      <c r="P559" t="str">
        <f>_xlfn.XLOOKUP(Table1[[#This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IF(_xlfn.XLOOKUP(C560,customers!$A$1:$A$1001,customers!C559:C1559,,0)=0,"",_xlfn.XLOOKUP(C560,customers!$A$1:$A$1001,customers!C559:C1559,,0))</f>
        <v/>
      </c>
      <c r="H560" s="2" t="str">
        <f>_xlfn.XLOOKUP(orders!C560,customers!$A$1:$A$1001,customers!$G$1:$G$1001,,0)</f>
        <v>United States</v>
      </c>
      <c r="I560" t="str">
        <f>INDEX(products!$A$1:$G$49,MATCH(orders!$D560, products!$A$1:$A$49,0), MATCH(orders!I$1,products!$A$1:$G$1,0))</f>
        <v>Lib</v>
      </c>
      <c r="J560" t="str">
        <f>INDEX(products!$A$1:$G$49,MATCH(orders!$D560, products!$A$1:$A$49,0), MATCH(orders!J$1,products!$A$1:$G$1,0))</f>
        <v>D</v>
      </c>
      <c r="K560" s="4">
        <f>INDEX(products!$A$1:$G$49,MATCH(orders!$D560, products!$A$1:$A$49,0), MATCH(orders!K$1,products!$A$1:$G$1,0))</f>
        <v>0.2</v>
      </c>
      <c r="L560" s="5">
        <f>INDEX(products!$A$1:$G$49,MATCH(orders!$D560, products!$A$1:$A$49,0), MATCH(orders!L$1,products!$A$1:$G$1,0))</f>
        <v>3.8849999999999998</v>
      </c>
      <c r="M560" s="5">
        <f t="shared" si="24"/>
        <v>15.54</v>
      </c>
      <c r="N560" t="str">
        <f t="shared" si="25"/>
        <v>Liberica</v>
      </c>
      <c r="O560" t="str">
        <f t="shared" si="26"/>
        <v>Dark</v>
      </c>
      <c r="P560" t="str">
        <f>_xlfn.XLOOKUP(Table1[[#This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IF(_xlfn.XLOOKUP(C561,customers!$A$1:$A$1001,customers!C560:C1560,,0)=0,"",_xlfn.XLOOKUP(C561,customers!$A$1:$A$1001,customers!C560:C1560,,0))</f>
        <v/>
      </c>
      <c r="H561" s="2" t="str">
        <f>_xlfn.XLOOKUP(orders!C561,customers!$A$1:$A$1001,customers!$G$1:$G$1001,,0)</f>
        <v>United States</v>
      </c>
      <c r="I561" t="str">
        <f>INDEX(products!$A$1:$G$49,MATCH(orders!$D561, products!$A$1:$A$49,0), MATCH(orders!I$1,products!$A$1:$G$1,0))</f>
        <v>Ara</v>
      </c>
      <c r="J561" t="str">
        <f>INDEX(products!$A$1:$G$49,MATCH(orders!$D561, products!$A$1:$A$49,0), MATCH(orders!J$1,products!$A$1:$G$1,0))</f>
        <v>L</v>
      </c>
      <c r="K561" s="4">
        <f>INDEX(products!$A$1:$G$49,MATCH(orders!$D561, products!$A$1:$A$49,0), MATCH(orders!K$1,products!$A$1:$G$1,0))</f>
        <v>1</v>
      </c>
      <c r="L561" s="5">
        <f>INDEX(products!$A$1:$G$49,MATCH(orders!$D561, products!$A$1:$A$49,0), MATCH(orders!L$1,products!$A$1:$G$1,0))</f>
        <v>12.95</v>
      </c>
      <c r="M561" s="5">
        <f t="shared" si="24"/>
        <v>38.849999999999994</v>
      </c>
      <c r="N561" t="str">
        <f t="shared" si="25"/>
        <v>Arabica</v>
      </c>
      <c r="O561" t="str">
        <f t="shared" si="26"/>
        <v>Light</v>
      </c>
      <c r="P561" t="str">
        <f>_xlfn.XLOOKUP(Table1[[#This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IF(_xlfn.XLOOKUP(C562,customers!$A$1:$A$1001,customers!C561:C1561,,0)=0,"",_xlfn.XLOOKUP(C562,customers!$A$1:$A$1001,customers!C561:C1561,,0))</f>
        <v/>
      </c>
      <c r="H562" s="2" t="str">
        <f>_xlfn.XLOOKUP(orders!C562,customers!$A$1:$A$1001,customers!$G$1:$G$1001,,0)</f>
        <v>United States</v>
      </c>
      <c r="I562" t="str">
        <f>INDEX(products!$A$1:$G$49,MATCH(orders!$D562, products!$A$1:$A$49,0), MATCH(orders!I$1,products!$A$1:$G$1,0))</f>
        <v>Exc</v>
      </c>
      <c r="J562" t="str">
        <f>INDEX(products!$A$1:$G$49,MATCH(orders!$D562, products!$A$1:$A$49,0), MATCH(orders!J$1,products!$A$1:$G$1,0))</f>
        <v>M</v>
      </c>
      <c r="K562" s="4">
        <f>INDEX(products!$A$1:$G$49,MATCH(orders!$D562, products!$A$1:$A$49,0), MATCH(orders!K$1,products!$A$1:$G$1,0))</f>
        <v>2.5</v>
      </c>
      <c r="L562" s="5">
        <f>INDEX(products!$A$1:$G$49,MATCH(orders!$D562, products!$A$1:$A$49,0), MATCH(orders!L$1,products!$A$1:$G$1,0))</f>
        <v>31.624999999999996</v>
      </c>
      <c r="M562" s="5">
        <f t="shared" si="24"/>
        <v>189.74999999999997</v>
      </c>
      <c r="N562" t="str">
        <f t="shared" si="25"/>
        <v>Excelsa</v>
      </c>
      <c r="O562" t="str">
        <f t="shared" si="26"/>
        <v>Medium</v>
      </c>
      <c r="P562" t="str">
        <f>_xlfn.XLOOKUP(Table1[[#This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IF(_xlfn.XLOOKUP(C563,customers!$A$1:$A$1001,customers!C562:C1562,,0)=0,"",_xlfn.XLOOKUP(C563,customers!$A$1:$A$1001,customers!C562:C1562,,0))</f>
        <v/>
      </c>
      <c r="H563" s="2" t="str">
        <f>_xlfn.XLOOKUP(orders!C563,customers!$A$1:$A$1001,customers!$G$1:$G$1001,,0)</f>
        <v>Ireland</v>
      </c>
      <c r="I563" t="str">
        <f>INDEX(products!$A$1:$G$49,MATCH(orders!$D563, products!$A$1:$A$49,0), MATCH(orders!I$1,products!$A$1:$G$1,0))</f>
        <v>Ara</v>
      </c>
      <c r="J563" t="str">
        <f>INDEX(products!$A$1:$G$49,MATCH(orders!$D563, products!$A$1:$A$49,0), MATCH(orders!J$1,products!$A$1:$G$1,0))</f>
        <v>D</v>
      </c>
      <c r="K563" s="4">
        <f>INDEX(products!$A$1:$G$49,MATCH(orders!$D563, products!$A$1:$A$49,0), MATCH(orders!K$1,products!$A$1:$G$1,0))</f>
        <v>0.2</v>
      </c>
      <c r="L563" s="5">
        <f>INDEX(products!$A$1:$G$49,MATCH(orders!$D563, products!$A$1:$A$49,0), MATCH(orders!L$1,products!$A$1:$G$1,0))</f>
        <v>2.9849999999999999</v>
      </c>
      <c r="M563" s="5">
        <f t="shared" si="24"/>
        <v>17.91</v>
      </c>
      <c r="N563" t="str">
        <f t="shared" si="25"/>
        <v>Arabica</v>
      </c>
      <c r="O563" t="str">
        <f t="shared" si="26"/>
        <v>Dark</v>
      </c>
      <c r="P563" t="str">
        <f>_xlfn.XLOOKUP(Table1[[#This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IF(_xlfn.XLOOKUP(C564,customers!$A$1:$A$1001,customers!C563:C1563,,0)=0,"",_xlfn.XLOOKUP(C564,customers!$A$1:$A$1001,customers!C563:C1563,,0))</f>
        <v/>
      </c>
      <c r="H564" s="2" t="str">
        <f>_xlfn.XLOOKUP(orders!C564,customers!$A$1:$A$1001,customers!$G$1:$G$1001,,0)</f>
        <v>United Kingdom</v>
      </c>
      <c r="I564" t="str">
        <f>INDEX(products!$A$1:$G$49,MATCH(orders!$D564, products!$A$1:$A$49,0), MATCH(orders!I$1,products!$A$1:$G$1,0))</f>
        <v>Lib</v>
      </c>
      <c r="J564" t="str">
        <f>INDEX(products!$A$1:$G$49,MATCH(orders!$D564, products!$A$1:$A$49,0), MATCH(orders!J$1,products!$A$1:$G$1,0))</f>
        <v>L</v>
      </c>
      <c r="K564" s="4">
        <f>INDEX(products!$A$1:$G$49,MATCH(orders!$D564, products!$A$1:$A$49,0), MATCH(orders!K$1,products!$A$1:$G$1,0))</f>
        <v>0.2</v>
      </c>
      <c r="L564" s="5">
        <f>INDEX(products!$A$1:$G$49,MATCH(orders!$D564, products!$A$1:$A$49,0), MATCH(orders!L$1,products!$A$1:$G$1,0))</f>
        <v>4.7549999999999999</v>
      </c>
      <c r="M564" s="5">
        <f t="shared" si="24"/>
        <v>28.53</v>
      </c>
      <c r="N564" t="str">
        <f t="shared" si="25"/>
        <v>Liberica</v>
      </c>
      <c r="O564" t="str">
        <f t="shared" si="26"/>
        <v>Light</v>
      </c>
      <c r="P564" t="str">
        <f>_xlfn.XLOOKUP(Table1[[#This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IF(_xlfn.XLOOKUP(C565,customers!$A$1:$A$1001,customers!C564:C1564,,0)=0,"",_xlfn.XLOOKUP(C565,customers!$A$1:$A$1001,customers!C564:C1564,,0))</f>
        <v/>
      </c>
      <c r="H565" s="2" t="str">
        <f>_xlfn.XLOOKUP(orders!C565,customers!$A$1:$A$1001,customers!$G$1:$G$1001,,0)</f>
        <v>United Kingdom</v>
      </c>
      <c r="I565" t="str">
        <f>INDEX(products!$A$1:$G$49,MATCH(orders!$D565, products!$A$1:$A$49,0), MATCH(orders!I$1,products!$A$1:$G$1,0))</f>
        <v>Exc</v>
      </c>
      <c r="J565" t="str">
        <f>INDEX(products!$A$1:$G$49,MATCH(orders!$D565, products!$A$1:$A$49,0), MATCH(orders!J$1,products!$A$1:$G$1,0))</f>
        <v>M</v>
      </c>
      <c r="K565" s="4">
        <f>INDEX(products!$A$1:$G$49,MATCH(orders!$D565, products!$A$1:$A$49,0), MATCH(orders!K$1,products!$A$1:$G$1,0))</f>
        <v>1</v>
      </c>
      <c r="L565" s="5">
        <f>INDEX(products!$A$1:$G$49,MATCH(orders!$D565, products!$A$1:$A$49,0), MATCH(orders!L$1,products!$A$1:$G$1,0))</f>
        <v>13.75</v>
      </c>
      <c r="M565" s="5">
        <f t="shared" si="24"/>
        <v>82.5</v>
      </c>
      <c r="N565" t="str">
        <f t="shared" si="25"/>
        <v>Excelsa</v>
      </c>
      <c r="O565" t="str">
        <f t="shared" si="26"/>
        <v>Medium</v>
      </c>
      <c r="P565" t="str">
        <f>_xlfn.XLOOKUP(Table1[[#This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IF(_xlfn.XLOOKUP(C566,customers!$A$1:$A$1001,customers!C565:C1565,,0)=0,"",_xlfn.XLOOKUP(C566,customers!$A$1:$A$1001,customers!C565:C1565,,0))</f>
        <v/>
      </c>
      <c r="H566" s="2" t="str">
        <f>_xlfn.XLOOKUP(orders!C566,customers!$A$1:$A$1001,customers!$G$1:$G$1001,,0)</f>
        <v>United States</v>
      </c>
      <c r="I566" t="str">
        <f>INDEX(products!$A$1:$G$49,MATCH(orders!$D566, products!$A$1:$A$49,0), MATCH(orders!I$1,products!$A$1:$G$1,0))</f>
        <v>Rob</v>
      </c>
      <c r="J566" t="str">
        <f>INDEX(products!$A$1:$G$49,MATCH(orders!$D566, products!$A$1:$A$49,0), MATCH(orders!J$1,products!$A$1:$G$1,0))</f>
        <v>L</v>
      </c>
      <c r="K566" s="4">
        <f>INDEX(products!$A$1:$G$49,MATCH(orders!$D566, products!$A$1:$A$49,0), MATCH(orders!K$1,products!$A$1:$G$1,0))</f>
        <v>0.5</v>
      </c>
      <c r="L566" s="5">
        <f>INDEX(products!$A$1:$G$49,MATCH(orders!$D566, products!$A$1:$A$49,0), MATCH(orders!L$1,products!$A$1:$G$1,0))</f>
        <v>7.169999999999999</v>
      </c>
      <c r="M566" s="5">
        <f t="shared" si="24"/>
        <v>14.339999999999998</v>
      </c>
      <c r="N566" t="str">
        <f t="shared" si="25"/>
        <v>Robusta</v>
      </c>
      <c r="O566" t="str">
        <f t="shared" si="26"/>
        <v>Light</v>
      </c>
      <c r="P566" t="str">
        <f>_xlfn.XLOOKUP(Table1[[#This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IF(_xlfn.XLOOKUP(C567,customers!$A$1:$A$1001,customers!C566:C1566,,0)=0,"",_xlfn.XLOOKUP(C567,customers!$A$1:$A$1001,customers!C566:C1566,,0))</f>
        <v/>
      </c>
      <c r="H567" s="2" t="str">
        <f>_xlfn.XLOOKUP(orders!C567,customers!$A$1:$A$1001,customers!$G$1:$G$1001,,0)</f>
        <v>United States</v>
      </c>
      <c r="I567" t="str">
        <f>INDEX(products!$A$1:$G$49,MATCH(orders!$D567, products!$A$1:$A$49,0), MATCH(orders!I$1,products!$A$1:$G$1,0))</f>
        <v>Rob</v>
      </c>
      <c r="J567" t="str">
        <f>INDEX(products!$A$1:$G$49,MATCH(orders!$D567, products!$A$1:$A$49,0), MATCH(orders!J$1,products!$A$1:$G$1,0))</f>
        <v>D</v>
      </c>
      <c r="K567" s="4">
        <f>INDEX(products!$A$1:$G$49,MATCH(orders!$D567, products!$A$1:$A$49,0), MATCH(orders!K$1,products!$A$1:$G$1,0))</f>
        <v>2.5</v>
      </c>
      <c r="L567" s="5">
        <f>INDEX(products!$A$1:$G$49,MATCH(orders!$D567, products!$A$1:$A$49,0), MATCH(orders!L$1,products!$A$1:$G$1,0))</f>
        <v>20.584999999999997</v>
      </c>
      <c r="M567" s="5">
        <f t="shared" si="24"/>
        <v>82.339999999999989</v>
      </c>
      <c r="N567" t="str">
        <f t="shared" si="25"/>
        <v>Robusta</v>
      </c>
      <c r="O567" t="str">
        <f t="shared" si="26"/>
        <v>Dark</v>
      </c>
      <c r="P567" t="str">
        <f>_xlfn.XLOOKUP(Table1[[#This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IF(_xlfn.XLOOKUP(C568,customers!$A$1:$A$1001,customers!C567:C1567,,0)=0,"",_xlfn.XLOOKUP(C568,customers!$A$1:$A$1001,customers!C567:C1567,,0))</f>
        <v/>
      </c>
      <c r="H568" s="2" t="str">
        <f>_xlfn.XLOOKUP(orders!C568,customers!$A$1:$A$1001,customers!$G$1:$G$1001,,0)</f>
        <v>United States</v>
      </c>
      <c r="I568" t="str">
        <f>INDEX(products!$A$1:$G$49,MATCH(orders!$D568, products!$A$1:$A$49,0), MATCH(orders!I$1,products!$A$1:$G$1,0))</f>
        <v>Ara</v>
      </c>
      <c r="J568" t="str">
        <f>INDEX(products!$A$1:$G$49,MATCH(orders!$D568, products!$A$1:$A$49,0), MATCH(orders!J$1,products!$A$1:$G$1,0))</f>
        <v>M</v>
      </c>
      <c r="K568" s="4">
        <f>INDEX(products!$A$1:$G$49,MATCH(orders!$D568, products!$A$1:$A$49,0), MATCH(orders!K$1,products!$A$1:$G$1,0))</f>
        <v>0.2</v>
      </c>
      <c r="L568" s="5">
        <f>INDEX(products!$A$1:$G$49,MATCH(orders!$D568, products!$A$1:$A$49,0), MATCH(orders!L$1,products!$A$1:$G$1,0))</f>
        <v>3.375</v>
      </c>
      <c r="M568" s="5">
        <f t="shared" si="24"/>
        <v>20.25</v>
      </c>
      <c r="N568" t="str">
        <f t="shared" si="25"/>
        <v>Arabica</v>
      </c>
      <c r="O568" t="str">
        <f t="shared" si="26"/>
        <v>Medium</v>
      </c>
      <c r="P568" t="str">
        <f>_xlfn.XLOOKUP(Table1[[#This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IF(_xlfn.XLOOKUP(C569,customers!$A$1:$A$1001,customers!C568:C1568,,0)=0,"",_xlfn.XLOOKUP(C569,customers!$A$1:$A$1001,customers!C568:C1568,,0))</f>
        <v/>
      </c>
      <c r="H569" s="2" t="str">
        <f>_xlfn.XLOOKUP(orders!C569,customers!$A$1:$A$1001,customers!$G$1:$G$1001,,0)</f>
        <v>Ireland</v>
      </c>
      <c r="I569" t="str">
        <f>INDEX(products!$A$1:$G$49,MATCH(orders!$D569, products!$A$1:$A$49,0), MATCH(orders!I$1,products!$A$1:$G$1,0))</f>
        <v>Rob</v>
      </c>
      <c r="J569" t="str">
        <f>INDEX(products!$A$1:$G$49,MATCH(orders!$D569, products!$A$1:$A$49,0), MATCH(orders!J$1,products!$A$1:$G$1,0))</f>
        <v>L</v>
      </c>
      <c r="K569" s="4">
        <f>INDEX(products!$A$1:$G$49,MATCH(orders!$D569, products!$A$1:$A$49,0), MATCH(orders!K$1,products!$A$1:$G$1,0))</f>
        <v>2.5</v>
      </c>
      <c r="L569" s="5">
        <f>INDEX(products!$A$1:$G$49,MATCH(orders!$D569, products!$A$1:$A$49,0), MATCH(orders!L$1,products!$A$1:$G$1,0))</f>
        <v>27.484999999999996</v>
      </c>
      <c r="M569" s="5">
        <f t="shared" si="24"/>
        <v>164.90999999999997</v>
      </c>
      <c r="N569" t="str">
        <f t="shared" si="25"/>
        <v>Robusta</v>
      </c>
      <c r="O569" t="str">
        <f t="shared" si="26"/>
        <v>Light</v>
      </c>
      <c r="P569" t="str">
        <f>_xlfn.XLOOKUP(Table1[[#This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IF(_xlfn.XLOOKUP(C570,customers!$A$1:$A$1001,customers!C569:C1569,,0)=0,"",_xlfn.XLOOKUP(C570,customers!$A$1:$A$1001,customers!C569:C1569,,0))</f>
        <v/>
      </c>
      <c r="H570" s="2" t="str">
        <f>_xlfn.XLOOKUP(orders!C570,customers!$A$1:$A$1001,customers!$G$1:$G$1001,,0)</f>
        <v>United States</v>
      </c>
      <c r="I570" t="str">
        <f>INDEX(products!$A$1:$G$49,MATCH(orders!$D570, products!$A$1:$A$49,0), MATCH(orders!I$1,products!$A$1:$G$1,0))</f>
        <v>Lib</v>
      </c>
      <c r="J570" t="str">
        <f>INDEX(products!$A$1:$G$49,MATCH(orders!$D570, products!$A$1:$A$49,0), MATCH(orders!J$1,products!$A$1:$G$1,0))</f>
        <v>L</v>
      </c>
      <c r="K570" s="4">
        <f>INDEX(products!$A$1:$G$49,MATCH(orders!$D570, products!$A$1:$A$49,0), MATCH(orders!K$1,products!$A$1:$G$1,0))</f>
        <v>0.2</v>
      </c>
      <c r="L570" s="5">
        <f>INDEX(products!$A$1:$G$49,MATCH(orders!$D570, products!$A$1:$A$49,0), MATCH(orders!L$1,products!$A$1:$G$1,0))</f>
        <v>4.7549999999999999</v>
      </c>
      <c r="M570" s="5">
        <f t="shared" si="24"/>
        <v>19.02</v>
      </c>
      <c r="N570" t="str">
        <f t="shared" si="25"/>
        <v>Liberica</v>
      </c>
      <c r="O570" t="str">
        <f t="shared" si="26"/>
        <v>Light</v>
      </c>
      <c r="P570" t="str">
        <f>_xlfn.XLOOKUP(Table1[[#This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IF(_xlfn.XLOOKUP(C571,customers!$A$1:$A$1001,customers!C570:C1570,,0)=0,"",_xlfn.XLOOKUP(C571,customers!$A$1:$A$1001,customers!C570:C1570,,0))</f>
        <v/>
      </c>
      <c r="H571" s="2" t="str">
        <f>_xlfn.XLOOKUP(orders!C571,customers!$A$1:$A$1001,customers!$G$1:$G$1001,,0)</f>
        <v>United Kingdom</v>
      </c>
      <c r="I571" t="str">
        <f>INDEX(products!$A$1:$G$49,MATCH(orders!$D571, products!$A$1:$A$49,0), MATCH(orders!I$1,products!$A$1:$G$1,0))</f>
        <v>Ara</v>
      </c>
      <c r="J571" t="str">
        <f>INDEX(products!$A$1:$G$49,MATCH(orders!$D571, products!$A$1:$A$49,0), MATCH(orders!J$1,products!$A$1:$G$1,0))</f>
        <v>D</v>
      </c>
      <c r="K571" s="4">
        <f>INDEX(products!$A$1:$G$49,MATCH(orders!$D571, products!$A$1:$A$49,0), MATCH(orders!K$1,products!$A$1:$G$1,0))</f>
        <v>2.5</v>
      </c>
      <c r="L571" s="5">
        <f>INDEX(products!$A$1:$G$49,MATCH(orders!$D571, products!$A$1:$A$49,0), MATCH(orders!L$1,products!$A$1:$G$1,0))</f>
        <v>22.884999999999998</v>
      </c>
      <c r="M571" s="5">
        <f t="shared" si="24"/>
        <v>137.31</v>
      </c>
      <c r="N571" t="str">
        <f t="shared" si="25"/>
        <v>Arabica</v>
      </c>
      <c r="O571" t="str">
        <f t="shared" si="26"/>
        <v>Dark</v>
      </c>
      <c r="P571" t="str">
        <f>_xlfn.XLOOKUP(Table1[[#This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IF(_xlfn.XLOOKUP(C572,customers!$A$1:$A$1001,customers!C571:C1571,,0)=0,"",_xlfn.XLOOKUP(C572,customers!$A$1:$A$1001,customers!C571:C1571,,0))</f>
        <v/>
      </c>
      <c r="H572" s="2" t="str">
        <f>_xlfn.XLOOKUP(orders!C572,customers!$A$1:$A$1001,customers!$G$1:$G$1001,,0)</f>
        <v>United States</v>
      </c>
      <c r="I572" t="str">
        <f>INDEX(products!$A$1:$G$49,MATCH(orders!$D572, products!$A$1:$A$49,0), MATCH(orders!I$1,products!$A$1:$G$1,0))</f>
        <v>Ara</v>
      </c>
      <c r="J572" t="str">
        <f>INDEX(products!$A$1:$G$49,MATCH(orders!$D572, products!$A$1:$A$49,0), MATCH(orders!J$1,products!$A$1:$G$1,0))</f>
        <v>M</v>
      </c>
      <c r="K572" s="4">
        <f>INDEX(products!$A$1:$G$49,MATCH(orders!$D572, products!$A$1:$A$49,0), MATCH(orders!K$1,products!$A$1:$G$1,0))</f>
        <v>0.5</v>
      </c>
      <c r="L572" s="5">
        <f>INDEX(products!$A$1:$G$49,MATCH(orders!$D572, products!$A$1:$A$49,0), MATCH(orders!L$1,products!$A$1:$G$1,0))</f>
        <v>6.75</v>
      </c>
      <c r="M572" s="5">
        <f t="shared" si="24"/>
        <v>27</v>
      </c>
      <c r="N572" t="str">
        <f t="shared" si="25"/>
        <v>Arabica</v>
      </c>
      <c r="O572" t="str">
        <f t="shared" si="26"/>
        <v>Medium</v>
      </c>
      <c r="P572" t="str">
        <f>_xlfn.XLOOKUP(Table1[[#This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IF(_xlfn.XLOOKUP(C573,customers!$A$1:$A$1001,customers!C572:C1572,,0)=0,"",_xlfn.XLOOKUP(C573,customers!$A$1:$A$1001,customers!C572:C1572,,0))</f>
        <v/>
      </c>
      <c r="H573" s="2" t="str">
        <f>_xlfn.XLOOKUP(orders!C573,customers!$A$1:$A$1001,customers!$G$1:$G$1001,,0)</f>
        <v>United Kingdom</v>
      </c>
      <c r="I573" t="str">
        <f>INDEX(products!$A$1:$G$49,MATCH(orders!$D573, products!$A$1:$A$49,0), MATCH(orders!I$1,products!$A$1:$G$1,0))</f>
        <v>Exc</v>
      </c>
      <c r="J573" t="str">
        <f>INDEX(products!$A$1:$G$49,MATCH(orders!$D573, products!$A$1:$A$49,0), MATCH(orders!J$1,products!$A$1:$G$1,0))</f>
        <v>L</v>
      </c>
      <c r="K573" s="4">
        <f>INDEX(products!$A$1:$G$49,MATCH(orders!$D573, products!$A$1:$A$49,0), MATCH(orders!K$1,products!$A$1:$G$1,0))</f>
        <v>0.5</v>
      </c>
      <c r="L573" s="5">
        <f>INDEX(products!$A$1:$G$49,MATCH(orders!$D573, products!$A$1:$A$49,0), MATCH(orders!L$1,products!$A$1:$G$1,0))</f>
        <v>8.91</v>
      </c>
      <c r="M573" s="5">
        <f t="shared" si="24"/>
        <v>35.64</v>
      </c>
      <c r="N573" t="str">
        <f t="shared" si="25"/>
        <v>Excelsa</v>
      </c>
      <c r="O573" t="str">
        <f t="shared" si="26"/>
        <v>Light</v>
      </c>
      <c r="P573" t="str">
        <f>_xlfn.XLOOKUP(Table1[[#This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IF(_xlfn.XLOOKUP(C574,customers!$A$1:$A$1001,customers!C573:C1573,,0)=0,"",_xlfn.XLOOKUP(C574,customers!$A$1:$A$1001,customers!C573:C1573,,0))</f>
        <v/>
      </c>
      <c r="H574" s="2" t="str">
        <f>_xlfn.XLOOKUP(orders!C574,customers!$A$1:$A$1001,customers!$G$1:$G$1001,,0)</f>
        <v>United States</v>
      </c>
      <c r="I574" t="str">
        <f>INDEX(products!$A$1:$G$49,MATCH(orders!$D574, products!$A$1:$A$49,0), MATCH(orders!I$1,products!$A$1:$G$1,0))</f>
        <v>Ara</v>
      </c>
      <c r="J574" t="str">
        <f>INDEX(products!$A$1:$G$49,MATCH(orders!$D574, products!$A$1:$A$49,0), MATCH(orders!J$1,products!$A$1:$G$1,0))</f>
        <v>D</v>
      </c>
      <c r="K574" s="4">
        <f>INDEX(products!$A$1:$G$49,MATCH(orders!$D574, products!$A$1:$A$49,0), MATCH(orders!K$1,products!$A$1:$G$1,0))</f>
        <v>0.2</v>
      </c>
      <c r="L574" s="5">
        <f>INDEX(products!$A$1:$G$49,MATCH(orders!$D574, products!$A$1:$A$49,0), MATCH(orders!L$1,products!$A$1:$G$1,0))</f>
        <v>2.9849999999999999</v>
      </c>
      <c r="M574" s="5">
        <f t="shared" si="24"/>
        <v>5.97</v>
      </c>
      <c r="N574" t="str">
        <f t="shared" si="25"/>
        <v>Arabica</v>
      </c>
      <c r="O574" t="str">
        <f t="shared" si="26"/>
        <v>Dark</v>
      </c>
      <c r="P574" t="str">
        <f>_xlfn.XLOOKUP(Table1[[#This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IF(_xlfn.XLOOKUP(C575,customers!$A$1:$A$1001,customers!C574:C1574,,0)=0,"",_xlfn.XLOOKUP(C575,customers!$A$1:$A$1001,customers!C574:C1574,,0))</f>
        <v/>
      </c>
      <c r="H575" s="2" t="str">
        <f>_xlfn.XLOOKUP(orders!C575,customers!$A$1:$A$1001,customers!$G$1:$G$1001,,0)</f>
        <v>United States</v>
      </c>
      <c r="I575" t="str">
        <f>INDEX(products!$A$1:$G$49,MATCH(orders!$D575, products!$A$1:$A$49,0), MATCH(orders!I$1,products!$A$1:$G$1,0))</f>
        <v>Ara</v>
      </c>
      <c r="J575" t="str">
        <f>INDEX(products!$A$1:$G$49,MATCH(orders!$D575, products!$A$1:$A$49,0), MATCH(orders!J$1,products!$A$1:$G$1,0))</f>
        <v>M</v>
      </c>
      <c r="K575" s="4">
        <f>INDEX(products!$A$1:$G$49,MATCH(orders!$D575, products!$A$1:$A$49,0), MATCH(orders!K$1,products!$A$1:$G$1,0))</f>
        <v>1</v>
      </c>
      <c r="L575" s="5">
        <f>INDEX(products!$A$1:$G$49,MATCH(orders!$D575, products!$A$1:$A$49,0), MATCH(orders!L$1,products!$A$1:$G$1,0))</f>
        <v>11.25</v>
      </c>
      <c r="M575" s="5">
        <f t="shared" si="24"/>
        <v>67.5</v>
      </c>
      <c r="N575" t="str">
        <f t="shared" si="25"/>
        <v>Arabica</v>
      </c>
      <c r="O575" t="str">
        <f t="shared" si="26"/>
        <v>Medium</v>
      </c>
      <c r="P575" t="str">
        <f>_xlfn.XLOOKUP(Table1[[#This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IF(_xlfn.XLOOKUP(C576,customers!$A$1:$A$1001,customers!C575:C1575,,0)=0,"",_xlfn.XLOOKUP(C576,customers!$A$1:$A$1001,customers!C575:C1575,,0))</f>
        <v/>
      </c>
      <c r="H576" s="2" t="str">
        <f>_xlfn.XLOOKUP(orders!C576,customers!$A$1:$A$1001,customers!$G$1:$G$1001,,0)</f>
        <v>United States</v>
      </c>
      <c r="I576" t="str">
        <f>INDEX(products!$A$1:$G$49,MATCH(orders!$D576, products!$A$1:$A$49,0), MATCH(orders!I$1,products!$A$1:$G$1,0))</f>
        <v>Rob</v>
      </c>
      <c r="J576" t="str">
        <f>INDEX(products!$A$1:$G$49,MATCH(orders!$D576, products!$A$1:$A$49,0), MATCH(orders!J$1,products!$A$1:$G$1,0))</f>
        <v>L</v>
      </c>
      <c r="K576" s="4">
        <f>INDEX(products!$A$1:$G$49,MATCH(orders!$D576, products!$A$1:$A$49,0), MATCH(orders!K$1,products!$A$1:$G$1,0))</f>
        <v>0.2</v>
      </c>
      <c r="L576" s="5">
        <f>INDEX(products!$A$1:$G$49,MATCH(orders!$D576, products!$A$1:$A$49,0), MATCH(orders!L$1,products!$A$1:$G$1,0))</f>
        <v>3.5849999999999995</v>
      </c>
      <c r="M576" s="5">
        <f t="shared" si="24"/>
        <v>21.509999999999998</v>
      </c>
      <c r="N576" t="str">
        <f t="shared" si="25"/>
        <v>Robusta</v>
      </c>
      <c r="O576" t="str">
        <f t="shared" si="26"/>
        <v>Light</v>
      </c>
      <c r="P576" t="str">
        <f>_xlfn.XLOOKUP(Table1[[#This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IF(_xlfn.XLOOKUP(C577,customers!$A$1:$A$1001,customers!C576:C1576,,0)=0,"",_xlfn.XLOOKUP(C577,customers!$A$1:$A$1001,customers!C576:C1576,,0))</f>
        <v/>
      </c>
      <c r="H577" s="2" t="str">
        <f>_xlfn.XLOOKUP(orders!C577,customers!$A$1:$A$1001,customers!$G$1:$G$1001,,0)</f>
        <v>United States</v>
      </c>
      <c r="I577" t="str">
        <f>INDEX(products!$A$1:$G$49,MATCH(orders!$D577, products!$A$1:$A$49,0), MATCH(orders!I$1,products!$A$1:$G$1,0))</f>
        <v>Lib</v>
      </c>
      <c r="J577" t="str">
        <f>INDEX(products!$A$1:$G$49,MATCH(orders!$D577, products!$A$1:$A$49,0), MATCH(orders!J$1,products!$A$1:$G$1,0))</f>
        <v>M</v>
      </c>
      <c r="K577" s="4">
        <f>INDEX(products!$A$1:$G$49,MATCH(orders!$D577, products!$A$1:$A$49,0), MATCH(orders!K$1,products!$A$1:$G$1,0))</f>
        <v>2.5</v>
      </c>
      <c r="L577" s="5">
        <f>INDEX(products!$A$1:$G$49,MATCH(orders!$D577, products!$A$1:$A$49,0), MATCH(orders!L$1,products!$A$1:$G$1,0))</f>
        <v>33.464999999999996</v>
      </c>
      <c r="M577" s="5">
        <f t="shared" si="24"/>
        <v>66.929999999999993</v>
      </c>
      <c r="N577" t="str">
        <f t="shared" si="25"/>
        <v>Liberica</v>
      </c>
      <c r="O577" t="str">
        <f t="shared" si="26"/>
        <v>Medium</v>
      </c>
      <c r="P577" t="str">
        <f>_xlfn.XLOOKUP(Table1[[#This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IF(_xlfn.XLOOKUP(C578,customers!$A$1:$A$1001,customers!C577:C1577,,0)=0,"",_xlfn.XLOOKUP(C578,customers!$A$1:$A$1001,customers!C577:C1577,,0))</f>
        <v/>
      </c>
      <c r="H578" s="2" t="str">
        <f>_xlfn.XLOOKUP(orders!C578,customers!$A$1:$A$1001,customers!$G$1:$G$1001,,0)</f>
        <v>United States</v>
      </c>
      <c r="I578" t="str">
        <f>INDEX(products!$A$1:$G$49,MATCH(orders!$D578, products!$A$1:$A$49,0), MATCH(orders!I$1,products!$A$1:$G$1,0))</f>
        <v>Ara</v>
      </c>
      <c r="J578" t="str">
        <f>INDEX(products!$A$1:$G$49,MATCH(orders!$D578, products!$A$1:$A$49,0), MATCH(orders!J$1,products!$A$1:$G$1,0))</f>
        <v>D</v>
      </c>
      <c r="K578" s="4">
        <f>INDEX(products!$A$1:$G$49,MATCH(orders!$D578, products!$A$1:$A$49,0), MATCH(orders!K$1,products!$A$1:$G$1,0))</f>
        <v>0.2</v>
      </c>
      <c r="L578" s="5">
        <f>INDEX(products!$A$1:$G$49,MATCH(orders!$D578, products!$A$1:$A$49,0), MATCH(orders!L$1,products!$A$1:$G$1,0))</f>
        <v>2.9849999999999999</v>
      </c>
      <c r="M578" s="5">
        <f t="shared" si="24"/>
        <v>17.91</v>
      </c>
      <c r="N578" t="str">
        <f t="shared" si="25"/>
        <v>Arabica</v>
      </c>
      <c r="O578" t="str">
        <f t="shared" si="26"/>
        <v>Dark</v>
      </c>
      <c r="P578" t="str">
        <f>_xlfn.XLOOKUP(Table1[[#This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IF(_xlfn.XLOOKUP(C579,customers!$A$1:$A$1001,customers!C578:C1578,,0)=0,"",_xlfn.XLOOKUP(C579,customers!$A$1:$A$1001,customers!C578:C1578,,0))</f>
        <v/>
      </c>
      <c r="H579" s="2" t="str">
        <f>_xlfn.XLOOKUP(orders!C579,customers!$A$1:$A$1001,customers!$G$1:$G$1001,,0)</f>
        <v>United Kingdom</v>
      </c>
      <c r="I579" t="str">
        <f>INDEX(products!$A$1:$G$49,MATCH(orders!$D579, products!$A$1:$A$49,0), MATCH(orders!I$1,products!$A$1:$G$1,0))</f>
        <v>Lib</v>
      </c>
      <c r="J579" t="str">
        <f>INDEX(products!$A$1:$G$49,MATCH(orders!$D579, products!$A$1:$A$49,0), MATCH(orders!J$1,products!$A$1:$G$1,0))</f>
        <v>M</v>
      </c>
      <c r="K579" s="4">
        <f>INDEX(products!$A$1:$G$49,MATCH(orders!$D579, products!$A$1:$A$49,0), MATCH(orders!K$1,products!$A$1:$G$1,0))</f>
        <v>1</v>
      </c>
      <c r="L579" s="5">
        <f>INDEX(products!$A$1:$G$49,MATCH(orders!$D579, products!$A$1:$A$49,0), MATCH(orders!L$1,products!$A$1:$G$1,0))</f>
        <v>14.55</v>
      </c>
      <c r="M579" s="5">
        <f t="shared" ref="M579:M642" si="27">L579*E579</f>
        <v>58.2</v>
      </c>
      <c r="N579" t="str">
        <f t="shared" ref="N579:N642" si="28">IF(I579="Rob","Robusta",IF(I579="Exc", "Excelsa", IF(I579="Ara","Arabica", IF(I579="lib","Liberica",""))))</f>
        <v>Liberica</v>
      </c>
      <c r="O579" t="str">
        <f t="shared" ref="O579:O642" si="29">IF(J579="M","Medium",IF(J579="L","Light",IF(J579="D","Dark", "")))</f>
        <v>Medium</v>
      </c>
      <c r="P579" t="str">
        <f>_xlfn.XLOOKUP(Table1[[#This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IF(_xlfn.XLOOKUP(C580,customers!$A$1:$A$1001,customers!C579:C1579,,0)=0,"",_xlfn.XLOOKUP(C580,customers!$A$1:$A$1001,customers!C579:C1579,,0))</f>
        <v/>
      </c>
      <c r="H580" s="2" t="str">
        <f>_xlfn.XLOOKUP(orders!C580,customers!$A$1:$A$1001,customers!$G$1:$G$1001,,0)</f>
        <v>Ireland</v>
      </c>
      <c r="I580" t="str">
        <f>INDEX(products!$A$1:$G$49,MATCH(orders!$D580, products!$A$1:$A$49,0), MATCH(orders!I$1,products!$A$1:$G$1,0))</f>
        <v>Exc</v>
      </c>
      <c r="J580" t="str">
        <f>INDEX(products!$A$1:$G$49,MATCH(orders!$D580, products!$A$1:$A$49,0), MATCH(orders!J$1,products!$A$1:$G$1,0))</f>
        <v>L</v>
      </c>
      <c r="K580" s="4">
        <f>INDEX(products!$A$1:$G$49,MATCH(orders!$D580, products!$A$1:$A$49,0), MATCH(orders!K$1,products!$A$1:$G$1,0))</f>
        <v>0.2</v>
      </c>
      <c r="L580" s="5">
        <f>INDEX(products!$A$1:$G$49,MATCH(orders!$D580, products!$A$1:$A$49,0), MATCH(orders!L$1,products!$A$1:$G$1,0))</f>
        <v>4.4550000000000001</v>
      </c>
      <c r="M580" s="5">
        <f t="shared" si="27"/>
        <v>13.365</v>
      </c>
      <c r="N580" t="str">
        <f t="shared" si="28"/>
        <v>Excelsa</v>
      </c>
      <c r="O580" t="str">
        <f t="shared" si="29"/>
        <v>Light</v>
      </c>
      <c r="P580" t="str">
        <f>_xlfn.XLOOKUP(Table1[[#This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IF(_xlfn.XLOOKUP(C581,customers!$A$1:$A$1001,customers!C580:C1580,,0)=0,"",_xlfn.XLOOKUP(C581,customers!$A$1:$A$1001,customers!C580:C1580,,0))</f>
        <v/>
      </c>
      <c r="H581" s="2" t="str">
        <f>_xlfn.XLOOKUP(orders!C581,customers!$A$1:$A$1001,customers!$G$1:$G$1001,,0)</f>
        <v>Ireland</v>
      </c>
      <c r="I581" t="str">
        <f>INDEX(products!$A$1:$G$49,MATCH(orders!$D581, products!$A$1:$A$49,0), MATCH(orders!I$1,products!$A$1:$G$1,0))</f>
        <v>Ara</v>
      </c>
      <c r="J581" t="str">
        <f>INDEX(products!$A$1:$G$49,MATCH(orders!$D581, products!$A$1:$A$49,0), MATCH(orders!J$1,products!$A$1:$G$1,0))</f>
        <v>M</v>
      </c>
      <c r="K581" s="4">
        <f>INDEX(products!$A$1:$G$49,MATCH(orders!$D581, products!$A$1:$A$49,0), MATCH(orders!K$1,products!$A$1:$G$1,0))</f>
        <v>0.5</v>
      </c>
      <c r="L581" s="5">
        <f>INDEX(products!$A$1:$G$49,MATCH(orders!$D581, products!$A$1:$A$49,0), MATCH(orders!L$1,products!$A$1:$G$1,0))</f>
        <v>6.75</v>
      </c>
      <c r="M581" s="5">
        <f t="shared" si="27"/>
        <v>33.75</v>
      </c>
      <c r="N581" t="str">
        <f t="shared" si="28"/>
        <v>Arabica</v>
      </c>
      <c r="O581" t="str">
        <f t="shared" si="29"/>
        <v>Medium</v>
      </c>
      <c r="P581" t="str">
        <f>_xlfn.XLOOKUP(Table1[[#This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IF(_xlfn.XLOOKUP(C582,customers!$A$1:$A$1001,customers!C581:C1581,,0)=0,"",_xlfn.XLOOKUP(C582,customers!$A$1:$A$1001,customers!C581:C1581,,0))</f>
        <v/>
      </c>
      <c r="H582" s="2" t="str">
        <f>_xlfn.XLOOKUP(orders!C582,customers!$A$1:$A$1001,customers!$G$1:$G$1001,,0)</f>
        <v>United States</v>
      </c>
      <c r="I582" t="str">
        <f>INDEX(products!$A$1:$G$49,MATCH(orders!$D582, products!$A$1:$A$49,0), MATCH(orders!I$1,products!$A$1:$G$1,0))</f>
        <v>Exc</v>
      </c>
      <c r="J582" t="str">
        <f>INDEX(products!$A$1:$G$49,MATCH(orders!$D582, products!$A$1:$A$49,0), MATCH(orders!J$1,products!$A$1:$G$1,0))</f>
        <v>L</v>
      </c>
      <c r="K582" s="4">
        <f>INDEX(products!$A$1:$G$49,MATCH(orders!$D582, products!$A$1:$A$49,0), MATCH(orders!K$1,products!$A$1:$G$1,0))</f>
        <v>1</v>
      </c>
      <c r="L582" s="5">
        <f>INDEX(products!$A$1:$G$49,MATCH(orders!$D582, products!$A$1:$A$49,0), MATCH(orders!L$1,products!$A$1:$G$1,0))</f>
        <v>14.85</v>
      </c>
      <c r="M582" s="5">
        <f t="shared" si="27"/>
        <v>44.55</v>
      </c>
      <c r="N582" t="str">
        <f t="shared" si="28"/>
        <v>Excelsa</v>
      </c>
      <c r="O582" t="str">
        <f t="shared" si="29"/>
        <v>Light</v>
      </c>
      <c r="P582" t="str">
        <f>_xlfn.XLOOKUP(Table1[[#This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IF(_xlfn.XLOOKUP(C583,customers!$A$1:$A$1001,customers!C582:C1582,,0)=0,"",_xlfn.XLOOKUP(C583,customers!$A$1:$A$1001,customers!C582:C1582,,0))</f>
        <v/>
      </c>
      <c r="H583" s="2" t="str">
        <f>_xlfn.XLOOKUP(orders!C583,customers!$A$1:$A$1001,customers!$G$1:$G$1001,,0)</f>
        <v>United Kingdom</v>
      </c>
      <c r="I583" t="str">
        <f>INDEX(products!$A$1:$G$49,MATCH(orders!$D583, products!$A$1:$A$49,0), MATCH(orders!I$1,products!$A$1:$G$1,0))</f>
        <v>Exc</v>
      </c>
      <c r="J583" t="str">
        <f>INDEX(products!$A$1:$G$49,MATCH(orders!$D583, products!$A$1:$A$49,0), MATCH(orders!J$1,products!$A$1:$G$1,0))</f>
        <v>L</v>
      </c>
      <c r="K583" s="4">
        <f>INDEX(products!$A$1:$G$49,MATCH(orders!$D583, products!$A$1:$A$49,0), MATCH(orders!K$1,products!$A$1:$G$1,0))</f>
        <v>0.5</v>
      </c>
      <c r="L583" s="5">
        <f>INDEX(products!$A$1:$G$49,MATCH(orders!$D583, products!$A$1:$A$49,0), MATCH(orders!L$1,products!$A$1:$G$1,0))</f>
        <v>8.91</v>
      </c>
      <c r="M583" s="5">
        <f t="shared" si="27"/>
        <v>44.55</v>
      </c>
      <c r="N583" t="str">
        <f t="shared" si="28"/>
        <v>Excelsa</v>
      </c>
      <c r="O583" t="str">
        <f t="shared" si="29"/>
        <v>Light</v>
      </c>
      <c r="P583" t="str">
        <f>_xlfn.XLOOKUP(Table1[[#This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IF(_xlfn.XLOOKUP(C584,customers!$A$1:$A$1001,customers!C583:C1583,,0)=0,"",_xlfn.XLOOKUP(C584,customers!$A$1:$A$1001,customers!C583:C1583,,0))</f>
        <v/>
      </c>
      <c r="H584" s="2" t="str">
        <f>_xlfn.XLOOKUP(orders!C584,customers!$A$1:$A$1001,customers!$G$1:$G$1001,,0)</f>
        <v>United States</v>
      </c>
      <c r="I584" t="str">
        <f>INDEX(products!$A$1:$G$49,MATCH(orders!$D584, products!$A$1:$A$49,0), MATCH(orders!I$1,products!$A$1:$G$1,0))</f>
        <v>Exc</v>
      </c>
      <c r="J584" t="str">
        <f>INDEX(products!$A$1:$G$49,MATCH(orders!$D584, products!$A$1:$A$49,0), MATCH(orders!J$1,products!$A$1:$G$1,0))</f>
        <v>D</v>
      </c>
      <c r="K584" s="4">
        <f>INDEX(products!$A$1:$G$49,MATCH(orders!$D584, products!$A$1:$A$49,0), MATCH(orders!K$1,products!$A$1:$G$1,0))</f>
        <v>1</v>
      </c>
      <c r="L584" s="5">
        <f>INDEX(products!$A$1:$G$49,MATCH(orders!$D584, products!$A$1:$A$49,0), MATCH(orders!L$1,products!$A$1:$G$1,0))</f>
        <v>12.15</v>
      </c>
      <c r="M584" s="5">
        <f t="shared" si="27"/>
        <v>60.75</v>
      </c>
      <c r="N584" t="str">
        <f t="shared" si="28"/>
        <v>Excelsa</v>
      </c>
      <c r="O584" t="str">
        <f t="shared" si="29"/>
        <v>Dark</v>
      </c>
      <c r="P584" t="str">
        <f>_xlfn.XLOOKUP(Table1[[#This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IF(_xlfn.XLOOKUP(C585,customers!$A$1:$A$1001,customers!C584:C1584,,0)=0,"",_xlfn.XLOOKUP(C585,customers!$A$1:$A$1001,customers!C584:C1584,,0))</f>
        <v/>
      </c>
      <c r="H585" s="2" t="str">
        <f>_xlfn.XLOOKUP(orders!C585,customers!$A$1:$A$1001,customers!$G$1:$G$1001,,0)</f>
        <v>United States</v>
      </c>
      <c r="I585" t="str">
        <f>INDEX(products!$A$1:$G$49,MATCH(orders!$D585, products!$A$1:$A$49,0), MATCH(orders!I$1,products!$A$1:$G$1,0))</f>
        <v>Rob</v>
      </c>
      <c r="J585" t="str">
        <f>INDEX(products!$A$1:$G$49,MATCH(orders!$D585, products!$A$1:$A$49,0), MATCH(orders!J$1,products!$A$1:$G$1,0))</f>
        <v>L</v>
      </c>
      <c r="K585" s="4">
        <f>INDEX(products!$A$1:$G$49,MATCH(orders!$D585, products!$A$1:$A$49,0), MATCH(orders!K$1,products!$A$1:$G$1,0))</f>
        <v>0.2</v>
      </c>
      <c r="L585" s="5">
        <f>INDEX(products!$A$1:$G$49,MATCH(orders!$D585, products!$A$1:$A$49,0), MATCH(orders!L$1,products!$A$1:$G$1,0))</f>
        <v>3.5849999999999995</v>
      </c>
      <c r="M585" s="5">
        <f t="shared" si="27"/>
        <v>3.5849999999999995</v>
      </c>
      <c r="N585" t="str">
        <f t="shared" si="28"/>
        <v>Robusta</v>
      </c>
      <c r="O585" t="str">
        <f t="shared" si="29"/>
        <v>Light</v>
      </c>
      <c r="P585" t="str">
        <f>_xlfn.XLOOKUP(Table1[[#This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IF(_xlfn.XLOOKUP(C586,customers!$A$1:$A$1001,customers!C585:C1585,,0)=0,"",_xlfn.XLOOKUP(C586,customers!$A$1:$A$1001,customers!C585:C1585,,0))</f>
        <v/>
      </c>
      <c r="H586" s="2" t="str">
        <f>_xlfn.XLOOKUP(orders!C586,customers!$A$1:$A$1001,customers!$G$1:$G$1001,,0)</f>
        <v>United States</v>
      </c>
      <c r="I586" t="str">
        <f>INDEX(products!$A$1:$G$49,MATCH(orders!$D586, products!$A$1:$A$49,0), MATCH(orders!I$1,products!$A$1:$G$1,0))</f>
        <v>Rob</v>
      </c>
      <c r="J586" t="str">
        <f>INDEX(products!$A$1:$G$49,MATCH(orders!$D586, products!$A$1:$A$49,0), MATCH(orders!J$1,products!$A$1:$G$1,0))</f>
        <v>L</v>
      </c>
      <c r="K586" s="4">
        <f>INDEX(products!$A$1:$G$49,MATCH(orders!$D586, products!$A$1:$A$49,0), MATCH(orders!K$1,products!$A$1:$G$1,0))</f>
        <v>0.2</v>
      </c>
      <c r="L586" s="5">
        <f>INDEX(products!$A$1:$G$49,MATCH(orders!$D586, products!$A$1:$A$49,0), MATCH(orders!L$1,products!$A$1:$G$1,0))</f>
        <v>3.5849999999999995</v>
      </c>
      <c r="M586" s="5">
        <f t="shared" si="27"/>
        <v>21.509999999999998</v>
      </c>
      <c r="N586" t="str">
        <f t="shared" si="28"/>
        <v>Robusta</v>
      </c>
      <c r="O586" t="str">
        <f t="shared" si="29"/>
        <v>Light</v>
      </c>
      <c r="P586" t="str">
        <f>_xlfn.XLOOKUP(Table1[[#This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IF(_xlfn.XLOOKUP(C587,customers!$A$1:$A$1001,customers!C586:C1586,,0)=0,"",_xlfn.XLOOKUP(C587,customers!$A$1:$A$1001,customers!C586:C1586,,0))</f>
        <v/>
      </c>
      <c r="H587" s="2" t="str">
        <f>_xlfn.XLOOKUP(orders!C587,customers!$A$1:$A$1001,customers!$G$1:$G$1001,,0)</f>
        <v>United Kingdom</v>
      </c>
      <c r="I587" t="str">
        <f>INDEX(products!$A$1:$G$49,MATCH(orders!$D587, products!$A$1:$A$49,0), MATCH(orders!I$1,products!$A$1:$G$1,0))</f>
        <v>Exc</v>
      </c>
      <c r="J587" t="str">
        <f>INDEX(products!$A$1:$G$49,MATCH(orders!$D587, products!$A$1:$A$49,0), MATCH(orders!J$1,products!$A$1:$G$1,0))</f>
        <v>M</v>
      </c>
      <c r="K587" s="4">
        <f>INDEX(products!$A$1:$G$49,MATCH(orders!$D587, products!$A$1:$A$49,0), MATCH(orders!K$1,products!$A$1:$G$1,0))</f>
        <v>0.5</v>
      </c>
      <c r="L587" s="5">
        <f>INDEX(products!$A$1:$G$49,MATCH(orders!$D587, products!$A$1:$A$49,0), MATCH(orders!L$1,products!$A$1:$G$1,0))</f>
        <v>8.25</v>
      </c>
      <c r="M587" s="5">
        <f t="shared" si="27"/>
        <v>16.5</v>
      </c>
      <c r="N587" t="str">
        <f t="shared" si="28"/>
        <v>Excelsa</v>
      </c>
      <c r="O587" t="str">
        <f t="shared" si="29"/>
        <v>Medium</v>
      </c>
      <c r="P587" t="str">
        <f>_xlfn.XLOOKUP(Table1[[#This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IF(_xlfn.XLOOKUP(C588,customers!$A$1:$A$1001,customers!C587:C1587,,0)=0,"",_xlfn.XLOOKUP(C588,customers!$A$1:$A$1001,customers!C587:C1587,,0))</f>
        <v/>
      </c>
      <c r="H588" s="2" t="str">
        <f>_xlfn.XLOOKUP(orders!C588,customers!$A$1:$A$1001,customers!$G$1:$G$1001,,0)</f>
        <v>United States</v>
      </c>
      <c r="I588" t="str">
        <f>INDEX(products!$A$1:$G$49,MATCH(orders!$D588, products!$A$1:$A$49,0), MATCH(orders!I$1,products!$A$1:$G$1,0))</f>
        <v>Rob</v>
      </c>
      <c r="J588" t="str">
        <f>INDEX(products!$A$1:$G$49,MATCH(orders!$D588, products!$A$1:$A$49,0), MATCH(orders!J$1,products!$A$1:$G$1,0))</f>
        <v>L</v>
      </c>
      <c r="K588" s="4">
        <f>INDEX(products!$A$1:$G$49,MATCH(orders!$D588, products!$A$1:$A$49,0), MATCH(orders!K$1,products!$A$1:$G$1,0))</f>
        <v>2.5</v>
      </c>
      <c r="L588" s="5">
        <f>INDEX(products!$A$1:$G$49,MATCH(orders!$D588, products!$A$1:$A$49,0), MATCH(orders!L$1,products!$A$1:$G$1,0))</f>
        <v>27.484999999999996</v>
      </c>
      <c r="M588" s="5">
        <f t="shared" si="27"/>
        <v>82.454999999999984</v>
      </c>
      <c r="N588" t="str">
        <f t="shared" si="28"/>
        <v>Robusta</v>
      </c>
      <c r="O588" t="str">
        <f t="shared" si="29"/>
        <v>Light</v>
      </c>
      <c r="P588" t="str">
        <f>_xlfn.XLOOKUP(Table1[[#This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IF(_xlfn.XLOOKUP(C589,customers!$A$1:$A$1001,customers!C588:C1588,,0)=0,"",_xlfn.XLOOKUP(C589,customers!$A$1:$A$1001,customers!C588:C1588,,0))</f>
        <v/>
      </c>
      <c r="H589" s="2" t="str">
        <f>_xlfn.XLOOKUP(orders!C589,customers!$A$1:$A$1001,customers!$G$1:$G$1001,,0)</f>
        <v>United States</v>
      </c>
      <c r="I589" t="str">
        <f>INDEX(products!$A$1:$G$49,MATCH(orders!$D589, products!$A$1:$A$49,0), MATCH(orders!I$1,products!$A$1:$G$1,0))</f>
        <v>Lib</v>
      </c>
      <c r="J589" t="str">
        <f>INDEX(products!$A$1:$G$49,MATCH(orders!$D589, products!$A$1:$A$49,0), MATCH(orders!J$1,products!$A$1:$G$1,0))</f>
        <v>D</v>
      </c>
      <c r="K589" s="4">
        <f>INDEX(products!$A$1:$G$49,MATCH(orders!$D589, products!$A$1:$A$49,0), MATCH(orders!K$1,products!$A$1:$G$1,0))</f>
        <v>0.5</v>
      </c>
      <c r="L589" s="5">
        <f>INDEX(products!$A$1:$G$49,MATCH(orders!$D589, products!$A$1:$A$49,0), MATCH(orders!L$1,products!$A$1:$G$1,0))</f>
        <v>7.77</v>
      </c>
      <c r="M589" s="5">
        <f t="shared" si="27"/>
        <v>7.77</v>
      </c>
      <c r="N589" t="str">
        <f t="shared" si="28"/>
        <v>Liberica</v>
      </c>
      <c r="O589" t="str">
        <f t="shared" si="29"/>
        <v>Dark</v>
      </c>
      <c r="P589" t="str">
        <f>_xlfn.XLOOKUP(Table1[[#This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IF(_xlfn.XLOOKUP(C590,customers!$A$1:$A$1001,customers!C589:C1589,,0)=0,"",_xlfn.XLOOKUP(C590,customers!$A$1:$A$1001,customers!C589:C1589,,0))</f>
        <v/>
      </c>
      <c r="H590" s="2" t="str">
        <f>_xlfn.XLOOKUP(orders!C590,customers!$A$1:$A$1001,customers!$G$1:$G$1001,,0)</f>
        <v>United States</v>
      </c>
      <c r="I590" t="str">
        <f>INDEX(products!$A$1:$G$49,MATCH(orders!$D590, products!$A$1:$A$49,0), MATCH(orders!I$1,products!$A$1:$G$1,0))</f>
        <v>Rob</v>
      </c>
      <c r="J590" t="str">
        <f>INDEX(products!$A$1:$G$49,MATCH(orders!$D590, products!$A$1:$A$49,0), MATCH(orders!J$1,products!$A$1:$G$1,0))</f>
        <v>M</v>
      </c>
      <c r="K590" s="4">
        <f>INDEX(products!$A$1:$G$49,MATCH(orders!$D590, products!$A$1:$A$49,0), MATCH(orders!K$1,products!$A$1:$G$1,0))</f>
        <v>0.5</v>
      </c>
      <c r="L590" s="5">
        <f>INDEX(products!$A$1:$G$49,MATCH(orders!$D590, products!$A$1:$A$49,0), MATCH(orders!L$1,products!$A$1:$G$1,0))</f>
        <v>5.97</v>
      </c>
      <c r="M590" s="5">
        <f t="shared" si="27"/>
        <v>11.94</v>
      </c>
      <c r="N590" t="str">
        <f t="shared" si="28"/>
        <v>Robusta</v>
      </c>
      <c r="O590" t="str">
        <f t="shared" si="29"/>
        <v>Medium</v>
      </c>
      <c r="P590" t="str">
        <f>_xlfn.XLOOKUP(Table1[[#This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IF(_xlfn.XLOOKUP(C591,customers!$A$1:$A$1001,customers!C590:C1590,,0)=0,"",_xlfn.XLOOKUP(C591,customers!$A$1:$A$1001,customers!C590:C1590,,0))</f>
        <v/>
      </c>
      <c r="H591" s="2" t="str">
        <f>_xlfn.XLOOKUP(orders!C591,customers!$A$1:$A$1001,customers!$G$1:$G$1001,,0)</f>
        <v>United States</v>
      </c>
      <c r="I591" t="str">
        <f>INDEX(products!$A$1:$G$49,MATCH(orders!$D591, products!$A$1:$A$49,0), MATCH(orders!I$1,products!$A$1:$G$1,0))</f>
        <v>Exc</v>
      </c>
      <c r="J591" t="str">
        <f>INDEX(products!$A$1:$G$49,MATCH(orders!$D591, products!$A$1:$A$49,0), MATCH(orders!J$1,products!$A$1:$G$1,0))</f>
        <v>L</v>
      </c>
      <c r="K591" s="4">
        <f>INDEX(products!$A$1:$G$49,MATCH(orders!$D591, products!$A$1:$A$49,0), MATCH(orders!K$1,products!$A$1:$G$1,0))</f>
        <v>2.5</v>
      </c>
      <c r="L591" s="5">
        <f>INDEX(products!$A$1:$G$49,MATCH(orders!$D591, products!$A$1:$A$49,0), MATCH(orders!L$1,products!$A$1:$G$1,0))</f>
        <v>34.154999999999994</v>
      </c>
      <c r="M591" s="5">
        <f t="shared" si="27"/>
        <v>204.92999999999995</v>
      </c>
      <c r="N591" t="str">
        <f t="shared" si="28"/>
        <v>Excelsa</v>
      </c>
      <c r="O591" t="str">
        <f t="shared" si="29"/>
        <v>Light</v>
      </c>
      <c r="P591" t="str">
        <f>_xlfn.XLOOKUP(Table1[[#This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IF(_xlfn.XLOOKUP(C592,customers!$A$1:$A$1001,customers!C591:C1591,,0)=0,"",_xlfn.XLOOKUP(C592,customers!$A$1:$A$1001,customers!C591:C1591,,0))</f>
        <v/>
      </c>
      <c r="H592" s="2" t="str">
        <f>_xlfn.XLOOKUP(orders!C592,customers!$A$1:$A$1001,customers!$G$1:$G$1001,,0)</f>
        <v>United States</v>
      </c>
      <c r="I592" t="str">
        <f>INDEX(products!$A$1:$G$49,MATCH(orders!$D592, products!$A$1:$A$49,0), MATCH(orders!I$1,products!$A$1:$G$1,0))</f>
        <v>Exc</v>
      </c>
      <c r="J592" t="str">
        <f>INDEX(products!$A$1:$G$49,MATCH(orders!$D592, products!$A$1:$A$49,0), MATCH(orders!J$1,products!$A$1:$G$1,0))</f>
        <v>M</v>
      </c>
      <c r="K592" s="4">
        <f>INDEX(products!$A$1:$G$49,MATCH(orders!$D592, products!$A$1:$A$49,0), MATCH(orders!K$1,products!$A$1:$G$1,0))</f>
        <v>2.5</v>
      </c>
      <c r="L592" s="5">
        <f>INDEX(products!$A$1:$G$49,MATCH(orders!$D592, products!$A$1:$A$49,0), MATCH(orders!L$1,products!$A$1:$G$1,0))</f>
        <v>31.624999999999996</v>
      </c>
      <c r="M592" s="5">
        <f t="shared" si="27"/>
        <v>63.249999999999993</v>
      </c>
      <c r="N592" t="str">
        <f t="shared" si="28"/>
        <v>Excelsa</v>
      </c>
      <c r="O592" t="str">
        <f t="shared" si="29"/>
        <v>Medium</v>
      </c>
      <c r="P592" t="str">
        <f>_xlfn.XLOOKUP(Table1[[#This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IF(_xlfn.XLOOKUP(C593,customers!$A$1:$A$1001,customers!C592:C1592,,0)=0,"",_xlfn.XLOOKUP(C593,customers!$A$1:$A$1001,customers!C592:C1592,,0))</f>
        <v/>
      </c>
      <c r="H593" s="2" t="str">
        <f>_xlfn.XLOOKUP(orders!C593,customers!$A$1:$A$1001,customers!$G$1:$G$1001,,0)</f>
        <v>United States</v>
      </c>
      <c r="I593" t="str">
        <f>INDEX(products!$A$1:$G$49,MATCH(orders!$D593, products!$A$1:$A$49,0), MATCH(orders!I$1,products!$A$1:$G$1,0))</f>
        <v>Rob</v>
      </c>
      <c r="J593" t="str">
        <f>INDEX(products!$A$1:$G$49,MATCH(orders!$D593, products!$A$1:$A$49,0), MATCH(orders!J$1,products!$A$1:$G$1,0))</f>
        <v>D</v>
      </c>
      <c r="K593" s="4">
        <f>INDEX(products!$A$1:$G$49,MATCH(orders!$D593, products!$A$1:$A$49,0), MATCH(orders!K$1,products!$A$1:$G$1,0))</f>
        <v>0.2</v>
      </c>
      <c r="L593" s="5">
        <f>INDEX(products!$A$1:$G$49,MATCH(orders!$D593, products!$A$1:$A$49,0), MATCH(orders!L$1,products!$A$1:$G$1,0))</f>
        <v>2.6849999999999996</v>
      </c>
      <c r="M593" s="5">
        <f t="shared" si="27"/>
        <v>8.0549999999999997</v>
      </c>
      <c r="N593" t="str">
        <f t="shared" si="28"/>
        <v>Robusta</v>
      </c>
      <c r="O593" t="str">
        <f t="shared" si="29"/>
        <v>Dark</v>
      </c>
      <c r="P593" t="str">
        <f>_xlfn.XLOOKUP(Table1[[#This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IF(_xlfn.XLOOKUP(C594,customers!$A$1:$A$1001,customers!C593:C1593,,0)=0,"",_xlfn.XLOOKUP(C594,customers!$A$1:$A$1001,customers!C593:C1593,,0))</f>
        <v/>
      </c>
      <c r="H594" s="2" t="str">
        <f>_xlfn.XLOOKUP(orders!C594,customers!$A$1:$A$1001,customers!$G$1:$G$1001,,0)</f>
        <v>United States</v>
      </c>
      <c r="I594" t="str">
        <f>INDEX(products!$A$1:$G$49,MATCH(orders!$D594, products!$A$1:$A$49,0), MATCH(orders!I$1,products!$A$1:$G$1,0))</f>
        <v>Ara</v>
      </c>
      <c r="J594" t="str">
        <f>INDEX(products!$A$1:$G$49,MATCH(orders!$D594, products!$A$1:$A$49,0), MATCH(orders!J$1,products!$A$1:$G$1,0))</f>
        <v>M</v>
      </c>
      <c r="K594" s="4">
        <f>INDEX(products!$A$1:$G$49,MATCH(orders!$D594, products!$A$1:$A$49,0), MATCH(orders!K$1,products!$A$1:$G$1,0))</f>
        <v>2.5</v>
      </c>
      <c r="L594" s="5">
        <f>INDEX(products!$A$1:$G$49,MATCH(orders!$D594, products!$A$1:$A$49,0), MATCH(orders!L$1,products!$A$1:$G$1,0))</f>
        <v>25.874999999999996</v>
      </c>
      <c r="M594" s="5">
        <f t="shared" si="27"/>
        <v>51.749999999999993</v>
      </c>
      <c r="N594" t="str">
        <f t="shared" si="28"/>
        <v>Arabica</v>
      </c>
      <c r="O594" t="str">
        <f t="shared" si="29"/>
        <v>Medium</v>
      </c>
      <c r="P594" t="str">
        <f>_xlfn.XLOOKUP(Table1[[#This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IF(_xlfn.XLOOKUP(C595,customers!$A$1:$A$1001,customers!C594:C1594,,0)=0,"",_xlfn.XLOOKUP(C595,customers!$A$1:$A$1001,customers!C594:C1594,,0))</f>
        <v/>
      </c>
      <c r="H595" s="2" t="str">
        <f>_xlfn.XLOOKUP(orders!C595,customers!$A$1:$A$1001,customers!$G$1:$G$1001,,0)</f>
        <v>United Kingdom</v>
      </c>
      <c r="I595" t="str">
        <f>INDEX(products!$A$1:$G$49,MATCH(orders!$D595, products!$A$1:$A$49,0), MATCH(orders!I$1,products!$A$1:$G$1,0))</f>
        <v>Exc</v>
      </c>
      <c r="J595" t="str">
        <f>INDEX(products!$A$1:$G$49,MATCH(orders!$D595, products!$A$1:$A$49,0), MATCH(orders!J$1,products!$A$1:$G$1,0))</f>
        <v>D</v>
      </c>
      <c r="K595" s="4">
        <f>INDEX(products!$A$1:$G$49,MATCH(orders!$D595, products!$A$1:$A$49,0), MATCH(orders!K$1,products!$A$1:$G$1,0))</f>
        <v>2.5</v>
      </c>
      <c r="L595" s="5">
        <f>INDEX(products!$A$1:$G$49,MATCH(orders!$D595, products!$A$1:$A$49,0), MATCH(orders!L$1,products!$A$1:$G$1,0))</f>
        <v>27.945</v>
      </c>
      <c r="M595" s="5">
        <f t="shared" si="27"/>
        <v>27.945</v>
      </c>
      <c r="N595" t="str">
        <f t="shared" si="28"/>
        <v>Excelsa</v>
      </c>
      <c r="O595" t="str">
        <f t="shared" si="29"/>
        <v>Dark</v>
      </c>
      <c r="P595" t="str">
        <f>_xlfn.XLOOKUP(Table1[[#This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IF(_xlfn.XLOOKUP(C596,customers!$A$1:$A$1001,customers!C595:C1595,,0)=0,"",_xlfn.XLOOKUP(C596,customers!$A$1:$A$1001,customers!C595:C1595,,0))</f>
        <v/>
      </c>
      <c r="H596" s="2" t="str">
        <f>_xlfn.XLOOKUP(orders!C596,customers!$A$1:$A$1001,customers!$G$1:$G$1001,,0)</f>
        <v>United States</v>
      </c>
      <c r="I596" t="str">
        <f>INDEX(products!$A$1:$G$49,MATCH(orders!$D596, products!$A$1:$A$49,0), MATCH(orders!I$1,products!$A$1:$G$1,0))</f>
        <v>Ara</v>
      </c>
      <c r="J596" t="str">
        <f>INDEX(products!$A$1:$G$49,MATCH(orders!$D596, products!$A$1:$A$49,0), MATCH(orders!J$1,products!$A$1:$G$1,0))</f>
        <v>L</v>
      </c>
      <c r="K596" s="4">
        <f>INDEX(products!$A$1:$G$49,MATCH(orders!$D596, products!$A$1:$A$49,0), MATCH(orders!K$1,products!$A$1:$G$1,0))</f>
        <v>2.5</v>
      </c>
      <c r="L596" s="5">
        <f>INDEX(products!$A$1:$G$49,MATCH(orders!$D596, products!$A$1:$A$49,0), MATCH(orders!L$1,products!$A$1:$G$1,0))</f>
        <v>29.784999999999997</v>
      </c>
      <c r="M596" s="5">
        <f t="shared" si="27"/>
        <v>59.569999999999993</v>
      </c>
      <c r="N596" t="str">
        <f t="shared" si="28"/>
        <v>Arabica</v>
      </c>
      <c r="O596" t="str">
        <f t="shared" si="29"/>
        <v>Light</v>
      </c>
      <c r="P596" t="str">
        <f>_xlfn.XLOOKUP(Table1[[#This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IF(_xlfn.XLOOKUP(C597,customers!$A$1:$A$1001,customers!C596:C1596,,0)=0,"",_xlfn.XLOOKUP(C597,customers!$A$1:$A$1001,customers!C596:C1596,,0))</f>
        <v/>
      </c>
      <c r="H597" s="2" t="str">
        <f>_xlfn.XLOOKUP(orders!C597,customers!$A$1:$A$1001,customers!$G$1:$G$1001,,0)</f>
        <v>United Kingdom</v>
      </c>
      <c r="I597" t="str">
        <f>INDEX(products!$A$1:$G$49,MATCH(orders!$D597, products!$A$1:$A$49,0), MATCH(orders!I$1,products!$A$1:$G$1,0))</f>
        <v>Exc</v>
      </c>
      <c r="J597" t="str">
        <f>INDEX(products!$A$1:$G$49,MATCH(orders!$D597, products!$A$1:$A$49,0), MATCH(orders!J$1,products!$A$1:$G$1,0))</f>
        <v>L</v>
      </c>
      <c r="K597" s="4">
        <f>INDEX(products!$A$1:$G$49,MATCH(orders!$D597, products!$A$1:$A$49,0), MATCH(orders!K$1,products!$A$1:$G$1,0))</f>
        <v>1</v>
      </c>
      <c r="L597" s="5">
        <f>INDEX(products!$A$1:$G$49,MATCH(orders!$D597, products!$A$1:$A$49,0), MATCH(orders!L$1,products!$A$1:$G$1,0))</f>
        <v>14.85</v>
      </c>
      <c r="M597" s="5">
        <f t="shared" si="27"/>
        <v>14.85</v>
      </c>
      <c r="N597" t="str">
        <f t="shared" si="28"/>
        <v>Excelsa</v>
      </c>
      <c r="O597" t="str">
        <f t="shared" si="29"/>
        <v>Light</v>
      </c>
      <c r="P597" t="str">
        <f>_xlfn.XLOOKUP(Table1[[#This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IF(_xlfn.XLOOKUP(C598,customers!$A$1:$A$1001,customers!C597:C1597,,0)=0,"",_xlfn.XLOOKUP(C598,customers!$A$1:$A$1001,customers!C597:C1597,,0))</f>
        <v/>
      </c>
      <c r="H598" s="2" t="str">
        <f>_xlfn.XLOOKUP(orders!C598,customers!$A$1:$A$1001,customers!$G$1:$G$1001,,0)</f>
        <v>United States</v>
      </c>
      <c r="I598" t="str">
        <f>INDEX(products!$A$1:$G$49,MATCH(orders!$D598, products!$A$1:$A$49,0), MATCH(orders!I$1,products!$A$1:$G$1,0))</f>
        <v>Ara</v>
      </c>
      <c r="J598" t="str">
        <f>INDEX(products!$A$1:$G$49,MATCH(orders!$D598, products!$A$1:$A$49,0), MATCH(orders!J$1,products!$A$1:$G$1,0))</f>
        <v>M</v>
      </c>
      <c r="K598" s="4">
        <f>INDEX(products!$A$1:$G$49,MATCH(orders!$D598, products!$A$1:$A$49,0), MATCH(orders!K$1,products!$A$1:$G$1,0))</f>
        <v>0.5</v>
      </c>
      <c r="L598" s="5">
        <f>INDEX(products!$A$1:$G$49,MATCH(orders!$D598, products!$A$1:$A$49,0), MATCH(orders!L$1,products!$A$1:$G$1,0))</f>
        <v>6.75</v>
      </c>
      <c r="M598" s="5">
        <f t="shared" si="27"/>
        <v>33.75</v>
      </c>
      <c r="N598" t="str">
        <f t="shared" si="28"/>
        <v>Arabica</v>
      </c>
      <c r="O598" t="str">
        <f t="shared" si="29"/>
        <v>Medium</v>
      </c>
      <c r="P598" t="str">
        <f>_xlfn.XLOOKUP(Table1[[#This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IF(_xlfn.XLOOKUP(C599,customers!$A$1:$A$1001,customers!C598:C1598,,0)=0,"",_xlfn.XLOOKUP(C599,customers!$A$1:$A$1001,customers!C598:C1598,,0))</f>
        <v/>
      </c>
      <c r="H599" s="2" t="str">
        <f>_xlfn.XLOOKUP(orders!C599,customers!$A$1:$A$1001,customers!$G$1:$G$1001,,0)</f>
        <v>United States</v>
      </c>
      <c r="I599" t="str">
        <f>INDEX(products!$A$1:$G$49,MATCH(orders!$D599, products!$A$1:$A$49,0), MATCH(orders!I$1,products!$A$1:$G$1,0))</f>
        <v>Lib</v>
      </c>
      <c r="J599" t="str">
        <f>INDEX(products!$A$1:$G$49,MATCH(orders!$D599, products!$A$1:$A$49,0), MATCH(orders!J$1,products!$A$1:$G$1,0))</f>
        <v>L</v>
      </c>
      <c r="K599" s="4">
        <f>INDEX(products!$A$1:$G$49,MATCH(orders!$D599, products!$A$1:$A$49,0), MATCH(orders!K$1,products!$A$1:$G$1,0))</f>
        <v>2.5</v>
      </c>
      <c r="L599" s="5">
        <f>INDEX(products!$A$1:$G$49,MATCH(orders!$D599, products!$A$1:$A$49,0), MATCH(orders!L$1,products!$A$1:$G$1,0))</f>
        <v>36.454999999999998</v>
      </c>
      <c r="M599" s="5">
        <f t="shared" si="27"/>
        <v>145.82</v>
      </c>
      <c r="N599" t="str">
        <f t="shared" si="28"/>
        <v>Liberica</v>
      </c>
      <c r="O599" t="str">
        <f t="shared" si="29"/>
        <v>Light</v>
      </c>
      <c r="P599" t="str">
        <f>_xlfn.XLOOKUP(Table1[[#This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IF(_xlfn.XLOOKUP(C600,customers!$A$1:$A$1001,customers!C599:C1599,,0)=0,"",_xlfn.XLOOKUP(C600,customers!$A$1:$A$1001,customers!C599:C1599,,0))</f>
        <v/>
      </c>
      <c r="H600" s="2" t="str">
        <f>_xlfn.XLOOKUP(orders!C600,customers!$A$1:$A$1001,customers!$G$1:$G$1001,,0)</f>
        <v>United States</v>
      </c>
      <c r="I600" t="str">
        <f>INDEX(products!$A$1:$G$49,MATCH(orders!$D600, products!$A$1:$A$49,0), MATCH(orders!I$1,products!$A$1:$G$1,0))</f>
        <v>Rob</v>
      </c>
      <c r="J600" t="str">
        <f>INDEX(products!$A$1:$G$49,MATCH(orders!$D600, products!$A$1:$A$49,0), MATCH(orders!J$1,products!$A$1:$G$1,0))</f>
        <v>M</v>
      </c>
      <c r="K600" s="4">
        <f>INDEX(products!$A$1:$G$49,MATCH(orders!$D600, products!$A$1:$A$49,0), MATCH(orders!K$1,products!$A$1:$G$1,0))</f>
        <v>0.2</v>
      </c>
      <c r="L600" s="5">
        <f>INDEX(products!$A$1:$G$49,MATCH(orders!$D600, products!$A$1:$A$49,0), MATCH(orders!L$1,products!$A$1:$G$1,0))</f>
        <v>2.9849999999999999</v>
      </c>
      <c r="M600" s="5">
        <f t="shared" si="27"/>
        <v>11.94</v>
      </c>
      <c r="N600" t="str">
        <f t="shared" si="28"/>
        <v>Robusta</v>
      </c>
      <c r="O600" t="str">
        <f t="shared" si="29"/>
        <v>Medium</v>
      </c>
      <c r="P600" t="str">
        <f>_xlfn.XLOOKUP(Table1[[#This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IF(_xlfn.XLOOKUP(C601,customers!$A$1:$A$1001,customers!C600:C1600,,0)=0,"",_xlfn.XLOOKUP(C601,customers!$A$1:$A$1001,customers!C600:C1600,,0))</f>
        <v/>
      </c>
      <c r="H601" s="2" t="str">
        <f>_xlfn.XLOOKUP(orders!C601,customers!$A$1:$A$1001,customers!$G$1:$G$1001,,0)</f>
        <v>United States</v>
      </c>
      <c r="I601" t="str">
        <f>INDEX(products!$A$1:$G$49,MATCH(orders!$D601, products!$A$1:$A$49,0), MATCH(orders!I$1,products!$A$1:$G$1,0))</f>
        <v>Ara</v>
      </c>
      <c r="J601" t="str">
        <f>INDEX(products!$A$1:$G$49,MATCH(orders!$D601, products!$A$1:$A$49,0), MATCH(orders!J$1,products!$A$1:$G$1,0))</f>
        <v>D</v>
      </c>
      <c r="K601" s="4">
        <f>INDEX(products!$A$1:$G$49,MATCH(orders!$D601, products!$A$1:$A$49,0), MATCH(orders!K$1,products!$A$1:$G$1,0))</f>
        <v>0.2</v>
      </c>
      <c r="L601" s="5">
        <f>INDEX(products!$A$1:$G$49,MATCH(orders!$D601, products!$A$1:$A$49,0), MATCH(orders!L$1,products!$A$1:$G$1,0))</f>
        <v>2.9849999999999999</v>
      </c>
      <c r="M601" s="5">
        <f t="shared" si="27"/>
        <v>11.94</v>
      </c>
      <c r="N601" t="str">
        <f t="shared" si="28"/>
        <v>Arabica</v>
      </c>
      <c r="O601" t="str">
        <f t="shared" si="29"/>
        <v>Dark</v>
      </c>
      <c r="P601" t="str">
        <f>_xlfn.XLOOKUP(Table1[[#This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IF(_xlfn.XLOOKUP(C602,customers!$A$1:$A$1001,customers!C601:C1601,,0)=0,"",_xlfn.XLOOKUP(C602,customers!$A$1:$A$1001,customers!C601:C1601,,0))</f>
        <v/>
      </c>
      <c r="H602" s="2" t="str">
        <f>_xlfn.XLOOKUP(orders!C602,customers!$A$1:$A$1001,customers!$G$1:$G$1001,,0)</f>
        <v>United States</v>
      </c>
      <c r="I602" t="str">
        <f>INDEX(products!$A$1:$G$49,MATCH(orders!$D602, products!$A$1:$A$49,0), MATCH(orders!I$1,products!$A$1:$G$1,0))</f>
        <v>Lib</v>
      </c>
      <c r="J602" t="str">
        <f>INDEX(products!$A$1:$G$49,MATCH(orders!$D602, products!$A$1:$A$49,0), MATCH(orders!J$1,products!$A$1:$G$1,0))</f>
        <v>D</v>
      </c>
      <c r="K602" s="4">
        <f>INDEX(products!$A$1:$G$49,MATCH(orders!$D602, products!$A$1:$A$49,0), MATCH(orders!K$1,products!$A$1:$G$1,0))</f>
        <v>0.5</v>
      </c>
      <c r="L602" s="5">
        <f>INDEX(products!$A$1:$G$49,MATCH(orders!$D602, products!$A$1:$A$49,0), MATCH(orders!L$1,products!$A$1:$G$1,0))</f>
        <v>7.77</v>
      </c>
      <c r="M602" s="5">
        <f t="shared" si="27"/>
        <v>7.77</v>
      </c>
      <c r="N602" t="str">
        <f t="shared" si="28"/>
        <v>Liberica</v>
      </c>
      <c r="O602" t="str">
        <f t="shared" si="29"/>
        <v>Dark</v>
      </c>
      <c r="P602" t="str">
        <f>_xlfn.XLOOKUP(Table1[[#This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IF(_xlfn.XLOOKUP(C603,customers!$A$1:$A$1001,customers!C602:C1602,,0)=0,"",_xlfn.XLOOKUP(C603,customers!$A$1:$A$1001,customers!C602:C1602,,0))</f>
        <v/>
      </c>
      <c r="H603" s="2" t="str">
        <f>_xlfn.XLOOKUP(orders!C603,customers!$A$1:$A$1001,customers!$G$1:$G$1001,,0)</f>
        <v>United States</v>
      </c>
      <c r="I603" t="str">
        <f>INDEX(products!$A$1:$G$49,MATCH(orders!$D603, products!$A$1:$A$49,0), MATCH(orders!I$1,products!$A$1:$G$1,0))</f>
        <v>Rob</v>
      </c>
      <c r="J603" t="str">
        <f>INDEX(products!$A$1:$G$49,MATCH(orders!$D603, products!$A$1:$A$49,0), MATCH(orders!J$1,products!$A$1:$G$1,0))</f>
        <v>L</v>
      </c>
      <c r="K603" s="4">
        <f>INDEX(products!$A$1:$G$49,MATCH(orders!$D603, products!$A$1:$A$49,0), MATCH(orders!K$1,products!$A$1:$G$1,0))</f>
        <v>2.5</v>
      </c>
      <c r="L603" s="5">
        <f>INDEX(products!$A$1:$G$49,MATCH(orders!$D603, products!$A$1:$A$49,0), MATCH(orders!L$1,products!$A$1:$G$1,0))</f>
        <v>27.484999999999996</v>
      </c>
      <c r="M603" s="5">
        <f t="shared" si="27"/>
        <v>109.93999999999998</v>
      </c>
      <c r="N603" t="str">
        <f t="shared" si="28"/>
        <v>Robusta</v>
      </c>
      <c r="O603" t="str">
        <f t="shared" si="29"/>
        <v>Light</v>
      </c>
      <c r="P603" t="str">
        <f>_xlfn.XLOOKUP(Table1[[#This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IF(_xlfn.XLOOKUP(C604,customers!$A$1:$A$1001,customers!C603:C1603,,0)=0,"",_xlfn.XLOOKUP(C604,customers!$A$1:$A$1001,customers!C603:C1603,,0))</f>
        <v/>
      </c>
      <c r="H604" s="2" t="str">
        <f>_xlfn.XLOOKUP(orders!C604,customers!$A$1:$A$1001,customers!$G$1:$G$1001,,0)</f>
        <v>United States</v>
      </c>
      <c r="I604" t="str">
        <f>INDEX(products!$A$1:$G$49,MATCH(orders!$D604, products!$A$1:$A$49,0), MATCH(orders!I$1,products!$A$1:$G$1,0))</f>
        <v>Exc</v>
      </c>
      <c r="J604" t="str">
        <f>INDEX(products!$A$1:$G$49,MATCH(orders!$D604, products!$A$1:$A$49,0), MATCH(orders!J$1,products!$A$1:$G$1,0))</f>
        <v>L</v>
      </c>
      <c r="K604" s="4">
        <f>INDEX(products!$A$1:$G$49,MATCH(orders!$D604, products!$A$1:$A$49,0), MATCH(orders!K$1,products!$A$1:$G$1,0))</f>
        <v>0.2</v>
      </c>
      <c r="L604" s="5">
        <f>INDEX(products!$A$1:$G$49,MATCH(orders!$D604, products!$A$1:$A$49,0), MATCH(orders!L$1,products!$A$1:$G$1,0))</f>
        <v>4.4550000000000001</v>
      </c>
      <c r="M604" s="5">
        <f t="shared" si="27"/>
        <v>22.274999999999999</v>
      </c>
      <c r="N604" t="str">
        <f t="shared" si="28"/>
        <v>Excelsa</v>
      </c>
      <c r="O604" t="str">
        <f t="shared" si="29"/>
        <v>Light</v>
      </c>
      <c r="P604" t="str">
        <f>_xlfn.XLOOKUP(Table1[[#This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IF(_xlfn.XLOOKUP(C605,customers!$A$1:$A$1001,customers!C604:C1604,,0)=0,"",_xlfn.XLOOKUP(C605,customers!$A$1:$A$1001,customers!C604:C1604,,0))</f>
        <v/>
      </c>
      <c r="H605" s="2" t="str">
        <f>_xlfn.XLOOKUP(orders!C605,customers!$A$1:$A$1001,customers!$G$1:$G$1001,,0)</f>
        <v>United States</v>
      </c>
      <c r="I605" t="str">
        <f>INDEX(products!$A$1:$G$49,MATCH(orders!$D605, products!$A$1:$A$49,0), MATCH(orders!I$1,products!$A$1:$G$1,0))</f>
        <v>Rob</v>
      </c>
      <c r="J605" t="str">
        <f>INDEX(products!$A$1:$G$49,MATCH(orders!$D605, products!$A$1:$A$49,0), MATCH(orders!J$1,products!$A$1:$G$1,0))</f>
        <v>M</v>
      </c>
      <c r="K605" s="4">
        <f>INDEX(products!$A$1:$G$49,MATCH(orders!$D605, products!$A$1:$A$49,0), MATCH(orders!K$1,products!$A$1:$G$1,0))</f>
        <v>0.2</v>
      </c>
      <c r="L605" s="5">
        <f>INDEX(products!$A$1:$G$49,MATCH(orders!$D605, products!$A$1:$A$49,0), MATCH(orders!L$1,products!$A$1:$G$1,0))</f>
        <v>2.9849999999999999</v>
      </c>
      <c r="M605" s="5">
        <f t="shared" si="27"/>
        <v>8.9550000000000001</v>
      </c>
      <c r="N605" t="str">
        <f t="shared" si="28"/>
        <v>Robusta</v>
      </c>
      <c r="O605" t="str">
        <f t="shared" si="29"/>
        <v>Medium</v>
      </c>
      <c r="P605" t="str">
        <f>_xlfn.XLOOKUP(Table1[[#This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IF(_xlfn.XLOOKUP(C606,customers!$A$1:$A$1001,customers!C605:C1605,,0)=0,"",_xlfn.XLOOKUP(C606,customers!$A$1:$A$1001,customers!C605:C1605,,0))</f>
        <v/>
      </c>
      <c r="H606" s="2" t="str">
        <f>_xlfn.XLOOKUP(orders!C606,customers!$A$1:$A$1001,customers!$G$1:$G$1001,,0)</f>
        <v>Ireland</v>
      </c>
      <c r="I606" t="str">
        <f>INDEX(products!$A$1:$G$49,MATCH(orders!$D606, products!$A$1:$A$49,0), MATCH(orders!I$1,products!$A$1:$G$1,0))</f>
        <v>Lib</v>
      </c>
      <c r="J606" t="str">
        <f>INDEX(products!$A$1:$G$49,MATCH(orders!$D606, products!$A$1:$A$49,0), MATCH(orders!J$1,products!$A$1:$G$1,0))</f>
        <v>D</v>
      </c>
      <c r="K606" s="4">
        <f>INDEX(products!$A$1:$G$49,MATCH(orders!$D606, products!$A$1:$A$49,0), MATCH(orders!K$1,products!$A$1:$G$1,0))</f>
        <v>2.5</v>
      </c>
      <c r="L606" s="5">
        <f>INDEX(products!$A$1:$G$49,MATCH(orders!$D606, products!$A$1:$A$49,0), MATCH(orders!L$1,products!$A$1:$G$1,0))</f>
        <v>29.784999999999997</v>
      </c>
      <c r="M606" s="5">
        <f t="shared" si="27"/>
        <v>119.13999999999999</v>
      </c>
      <c r="N606" t="str">
        <f t="shared" si="28"/>
        <v>Liberica</v>
      </c>
      <c r="O606" t="str">
        <f t="shared" si="29"/>
        <v>Dark</v>
      </c>
      <c r="P606" t="str">
        <f>_xlfn.XLOOKUP(Table1[[#This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IF(_xlfn.XLOOKUP(C607,customers!$A$1:$A$1001,customers!C606:C1606,,0)=0,"",_xlfn.XLOOKUP(C607,customers!$A$1:$A$1001,customers!C606:C1606,,0))</f>
        <v/>
      </c>
      <c r="H607" s="2" t="str">
        <f>_xlfn.XLOOKUP(orders!C607,customers!$A$1:$A$1001,customers!$G$1:$G$1001,,0)</f>
        <v>United States</v>
      </c>
      <c r="I607" t="str">
        <f>INDEX(products!$A$1:$G$49,MATCH(orders!$D607, products!$A$1:$A$49,0), MATCH(orders!I$1,products!$A$1:$G$1,0))</f>
        <v>Ara</v>
      </c>
      <c r="J607" t="str">
        <f>INDEX(products!$A$1:$G$49,MATCH(orders!$D607, products!$A$1:$A$49,0), MATCH(orders!J$1,products!$A$1:$G$1,0))</f>
        <v>L</v>
      </c>
      <c r="K607" s="4">
        <f>INDEX(products!$A$1:$G$49,MATCH(orders!$D607, products!$A$1:$A$49,0), MATCH(orders!K$1,products!$A$1:$G$1,0))</f>
        <v>2.5</v>
      </c>
      <c r="L607" s="5">
        <f>INDEX(products!$A$1:$G$49,MATCH(orders!$D607, products!$A$1:$A$49,0), MATCH(orders!L$1,products!$A$1:$G$1,0))</f>
        <v>29.784999999999997</v>
      </c>
      <c r="M607" s="5">
        <f t="shared" si="27"/>
        <v>148.92499999999998</v>
      </c>
      <c r="N607" t="str">
        <f t="shared" si="28"/>
        <v>Arabica</v>
      </c>
      <c r="O607" t="str">
        <f t="shared" si="29"/>
        <v>Light</v>
      </c>
      <c r="P607" t="str">
        <f>_xlfn.XLOOKUP(Table1[[#This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IF(_xlfn.XLOOKUP(C608,customers!$A$1:$A$1001,customers!C607:C1607,,0)=0,"",_xlfn.XLOOKUP(C608,customers!$A$1:$A$1001,customers!C607:C1607,,0))</f>
        <v/>
      </c>
      <c r="H608" s="2" t="str">
        <f>_xlfn.XLOOKUP(orders!C608,customers!$A$1:$A$1001,customers!$G$1:$G$1001,,0)</f>
        <v>United Kingdom</v>
      </c>
      <c r="I608" t="str">
        <f>INDEX(products!$A$1:$G$49,MATCH(orders!$D608, products!$A$1:$A$49,0), MATCH(orders!I$1,products!$A$1:$G$1,0))</f>
        <v>Lib</v>
      </c>
      <c r="J608" t="str">
        <f>INDEX(products!$A$1:$G$49,MATCH(orders!$D608, products!$A$1:$A$49,0), MATCH(orders!J$1,products!$A$1:$G$1,0))</f>
        <v>L</v>
      </c>
      <c r="K608" s="4">
        <f>INDEX(products!$A$1:$G$49,MATCH(orders!$D608, products!$A$1:$A$49,0), MATCH(orders!K$1,products!$A$1:$G$1,0))</f>
        <v>2.5</v>
      </c>
      <c r="L608" s="5">
        <f>INDEX(products!$A$1:$G$49,MATCH(orders!$D608, products!$A$1:$A$49,0), MATCH(orders!L$1,products!$A$1:$G$1,0))</f>
        <v>36.454999999999998</v>
      </c>
      <c r="M608" s="5">
        <f t="shared" si="27"/>
        <v>109.36499999999999</v>
      </c>
      <c r="N608" t="str">
        <f t="shared" si="28"/>
        <v>Liberica</v>
      </c>
      <c r="O608" t="str">
        <f t="shared" si="29"/>
        <v>Light</v>
      </c>
      <c r="P608" t="str">
        <f>_xlfn.XLOOKUP(Table1[[#This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IF(_xlfn.XLOOKUP(C609,customers!$A$1:$A$1001,customers!C608:C1608,,0)=0,"",_xlfn.XLOOKUP(C609,customers!$A$1:$A$1001,customers!C608:C1608,,0))</f>
        <v/>
      </c>
      <c r="H609" s="2" t="str">
        <f>_xlfn.XLOOKUP(orders!C609,customers!$A$1:$A$1001,customers!$G$1:$G$1001,,0)</f>
        <v>United States</v>
      </c>
      <c r="I609" t="str">
        <f>INDEX(products!$A$1:$G$49,MATCH(orders!$D609, products!$A$1:$A$49,0), MATCH(orders!I$1,products!$A$1:$G$1,0))</f>
        <v>Exc</v>
      </c>
      <c r="J609" t="str">
        <f>INDEX(products!$A$1:$G$49,MATCH(orders!$D609, products!$A$1:$A$49,0), MATCH(orders!J$1,products!$A$1:$G$1,0))</f>
        <v>D</v>
      </c>
      <c r="K609" s="4">
        <f>INDEX(products!$A$1:$G$49,MATCH(orders!$D609, products!$A$1:$A$49,0), MATCH(orders!K$1,products!$A$1:$G$1,0))</f>
        <v>0.2</v>
      </c>
      <c r="L609" s="5">
        <f>INDEX(products!$A$1:$G$49,MATCH(orders!$D609, products!$A$1:$A$49,0), MATCH(orders!L$1,products!$A$1:$G$1,0))</f>
        <v>3.645</v>
      </c>
      <c r="M609" s="5">
        <f t="shared" si="27"/>
        <v>3.645</v>
      </c>
      <c r="N609" t="str">
        <f t="shared" si="28"/>
        <v>Excelsa</v>
      </c>
      <c r="O609" t="str">
        <f t="shared" si="29"/>
        <v>Dark</v>
      </c>
      <c r="P609" t="str">
        <f>_xlfn.XLOOKUP(Table1[[#This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IF(_xlfn.XLOOKUP(C610,customers!$A$1:$A$1001,customers!C609:C1609,,0)=0,"",_xlfn.XLOOKUP(C610,customers!$A$1:$A$1001,customers!C609:C1609,,0))</f>
        <v/>
      </c>
      <c r="H610" s="2" t="str">
        <f>_xlfn.XLOOKUP(orders!C610,customers!$A$1:$A$1001,customers!$G$1:$G$1001,,0)</f>
        <v>United States</v>
      </c>
      <c r="I610" t="str">
        <f>INDEX(products!$A$1:$G$49,MATCH(orders!$D610, products!$A$1:$A$49,0), MATCH(orders!I$1,products!$A$1:$G$1,0))</f>
        <v>Exc</v>
      </c>
      <c r="J610" t="str">
        <f>INDEX(products!$A$1:$G$49,MATCH(orders!$D610, products!$A$1:$A$49,0), MATCH(orders!J$1,products!$A$1:$G$1,0))</f>
        <v>D</v>
      </c>
      <c r="K610" s="4">
        <f>INDEX(products!$A$1:$G$49,MATCH(orders!$D610, products!$A$1:$A$49,0), MATCH(orders!K$1,products!$A$1:$G$1,0))</f>
        <v>2.5</v>
      </c>
      <c r="L610" s="5">
        <f>INDEX(products!$A$1:$G$49,MATCH(orders!$D610, products!$A$1:$A$49,0), MATCH(orders!L$1,products!$A$1:$G$1,0))</f>
        <v>27.945</v>
      </c>
      <c r="M610" s="5">
        <f t="shared" si="27"/>
        <v>55.89</v>
      </c>
      <c r="N610" t="str">
        <f t="shared" si="28"/>
        <v>Excelsa</v>
      </c>
      <c r="O610" t="str">
        <f t="shared" si="29"/>
        <v>Dark</v>
      </c>
      <c r="P610" t="str">
        <f>_xlfn.XLOOKUP(Table1[[#This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IF(_xlfn.XLOOKUP(C611,customers!$A$1:$A$1001,customers!C610:C1610,,0)=0,"",_xlfn.XLOOKUP(C611,customers!$A$1:$A$1001,customers!C610:C1610,,0))</f>
        <v/>
      </c>
      <c r="H611" s="2" t="str">
        <f>_xlfn.XLOOKUP(orders!C611,customers!$A$1:$A$1001,customers!$G$1:$G$1001,,0)</f>
        <v>United States</v>
      </c>
      <c r="I611" t="str">
        <f>INDEX(products!$A$1:$G$49,MATCH(orders!$D611, products!$A$1:$A$49,0), MATCH(orders!I$1,products!$A$1:$G$1,0))</f>
        <v>Lib</v>
      </c>
      <c r="J611" t="str">
        <f>INDEX(products!$A$1:$G$49,MATCH(orders!$D611, products!$A$1:$A$49,0), MATCH(orders!J$1,products!$A$1:$G$1,0))</f>
        <v>M</v>
      </c>
      <c r="K611" s="4">
        <f>INDEX(products!$A$1:$G$49,MATCH(orders!$D611, products!$A$1:$A$49,0), MATCH(orders!K$1,products!$A$1:$G$1,0))</f>
        <v>0.2</v>
      </c>
      <c r="L611" s="5">
        <f>INDEX(products!$A$1:$G$49,MATCH(orders!$D611, products!$A$1:$A$49,0), MATCH(orders!L$1,products!$A$1:$G$1,0))</f>
        <v>4.3650000000000002</v>
      </c>
      <c r="M611" s="5">
        <f t="shared" si="27"/>
        <v>26.19</v>
      </c>
      <c r="N611" t="str">
        <f t="shared" si="28"/>
        <v>Liberica</v>
      </c>
      <c r="O611" t="str">
        <f t="shared" si="29"/>
        <v>Medium</v>
      </c>
      <c r="P611" t="str">
        <f>_xlfn.XLOOKUP(Table1[[#This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IF(_xlfn.XLOOKUP(C612,customers!$A$1:$A$1001,customers!C611:C1611,,0)=0,"",_xlfn.XLOOKUP(C612,customers!$A$1:$A$1001,customers!C611:C1611,,0))</f>
        <v/>
      </c>
      <c r="H612" s="2" t="str">
        <f>_xlfn.XLOOKUP(orders!C612,customers!$A$1:$A$1001,customers!$G$1:$G$1001,,0)</f>
        <v>United States</v>
      </c>
      <c r="I612" t="str">
        <f>INDEX(products!$A$1:$G$49,MATCH(orders!$D612, products!$A$1:$A$49,0), MATCH(orders!I$1,products!$A$1:$G$1,0))</f>
        <v>Rob</v>
      </c>
      <c r="J612" t="str">
        <f>INDEX(products!$A$1:$G$49,MATCH(orders!$D612, products!$A$1:$A$49,0), MATCH(orders!J$1,products!$A$1:$G$1,0))</f>
        <v>M</v>
      </c>
      <c r="K612" s="4">
        <f>INDEX(products!$A$1:$G$49,MATCH(orders!$D612, products!$A$1:$A$49,0), MATCH(orders!K$1,products!$A$1:$G$1,0))</f>
        <v>1</v>
      </c>
      <c r="L612" s="5">
        <f>INDEX(products!$A$1:$G$49,MATCH(orders!$D612, products!$A$1:$A$49,0), MATCH(orders!L$1,products!$A$1:$G$1,0))</f>
        <v>9.9499999999999993</v>
      </c>
      <c r="M612" s="5">
        <f t="shared" si="27"/>
        <v>39.799999999999997</v>
      </c>
      <c r="N612" t="str">
        <f t="shared" si="28"/>
        <v>Robusta</v>
      </c>
      <c r="O612" t="str">
        <f t="shared" si="29"/>
        <v>Medium</v>
      </c>
      <c r="P612" t="str">
        <f>_xlfn.XLOOKUP(Table1[[#This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IF(_xlfn.XLOOKUP(C613,customers!$A$1:$A$1001,customers!C612:C1612,,0)=0,"",_xlfn.XLOOKUP(C613,customers!$A$1:$A$1001,customers!C612:C1612,,0))</f>
        <v/>
      </c>
      <c r="H613" s="2" t="str">
        <f>_xlfn.XLOOKUP(orders!C613,customers!$A$1:$A$1001,customers!$G$1:$G$1001,,0)</f>
        <v>United States</v>
      </c>
      <c r="I613" t="str">
        <f>INDEX(products!$A$1:$G$49,MATCH(orders!$D613, products!$A$1:$A$49,0), MATCH(orders!I$1,products!$A$1:$G$1,0))</f>
        <v>Exc</v>
      </c>
      <c r="J613" t="str">
        <f>INDEX(products!$A$1:$G$49,MATCH(orders!$D613, products!$A$1:$A$49,0), MATCH(orders!J$1,products!$A$1:$G$1,0))</f>
        <v>L</v>
      </c>
      <c r="K613" s="4">
        <f>INDEX(products!$A$1:$G$49,MATCH(orders!$D613, products!$A$1:$A$49,0), MATCH(orders!K$1,products!$A$1:$G$1,0))</f>
        <v>2.5</v>
      </c>
      <c r="L613" s="5">
        <f>INDEX(products!$A$1:$G$49,MATCH(orders!$D613, products!$A$1:$A$49,0), MATCH(orders!L$1,products!$A$1:$G$1,0))</f>
        <v>34.154999999999994</v>
      </c>
      <c r="M613" s="5">
        <f t="shared" si="27"/>
        <v>68.309999999999988</v>
      </c>
      <c r="N613" t="str">
        <f t="shared" si="28"/>
        <v>Excelsa</v>
      </c>
      <c r="O613" t="str">
        <f t="shared" si="29"/>
        <v>Light</v>
      </c>
      <c r="P613" t="str">
        <f>_xlfn.XLOOKUP(Table1[[#This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IF(_xlfn.XLOOKUP(C614,customers!$A$1:$A$1001,customers!C613:C1613,,0)=0,"",_xlfn.XLOOKUP(C614,customers!$A$1:$A$1001,customers!C613:C1613,,0))</f>
        <v/>
      </c>
      <c r="H614" s="2" t="str">
        <f>_xlfn.XLOOKUP(orders!C614,customers!$A$1:$A$1001,customers!$G$1:$G$1001,,0)</f>
        <v>Ireland</v>
      </c>
      <c r="I614" t="str">
        <f>INDEX(products!$A$1:$G$49,MATCH(orders!$D614, products!$A$1:$A$49,0), MATCH(orders!I$1,products!$A$1:$G$1,0))</f>
        <v>Ara</v>
      </c>
      <c r="J614" t="str">
        <f>INDEX(products!$A$1:$G$49,MATCH(orders!$D614, products!$A$1:$A$49,0), MATCH(orders!J$1,products!$A$1:$G$1,0))</f>
        <v>M</v>
      </c>
      <c r="K614" s="4">
        <f>INDEX(products!$A$1:$G$49,MATCH(orders!$D614, products!$A$1:$A$49,0), MATCH(orders!K$1,products!$A$1:$G$1,0))</f>
        <v>0.2</v>
      </c>
      <c r="L614" s="5">
        <f>INDEX(products!$A$1:$G$49,MATCH(orders!$D614, products!$A$1:$A$49,0), MATCH(orders!L$1,products!$A$1:$G$1,0))</f>
        <v>3.375</v>
      </c>
      <c r="M614" s="5">
        <f t="shared" si="27"/>
        <v>13.5</v>
      </c>
      <c r="N614" t="str">
        <f t="shared" si="28"/>
        <v>Arabica</v>
      </c>
      <c r="O614" t="str">
        <f t="shared" si="29"/>
        <v>Medium</v>
      </c>
      <c r="P614" t="str">
        <f>_xlfn.XLOOKUP(Table1[[#This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IF(_xlfn.XLOOKUP(C615,customers!$A$1:$A$1001,customers!C614:C1614,,0)=0,"",_xlfn.XLOOKUP(C615,customers!$A$1:$A$1001,customers!C614:C1614,,0))</f>
        <v/>
      </c>
      <c r="H615" s="2" t="str">
        <f>_xlfn.XLOOKUP(orders!C615,customers!$A$1:$A$1001,customers!$G$1:$G$1001,,0)</f>
        <v>United States</v>
      </c>
      <c r="I615" t="str">
        <f>INDEX(products!$A$1:$G$49,MATCH(orders!$D615, products!$A$1:$A$49,0), MATCH(orders!I$1,products!$A$1:$G$1,0))</f>
        <v>Rob</v>
      </c>
      <c r="J615" t="str">
        <f>INDEX(products!$A$1:$G$49,MATCH(orders!$D615, products!$A$1:$A$49,0), MATCH(orders!J$1,products!$A$1:$G$1,0))</f>
        <v>M</v>
      </c>
      <c r="K615" s="4">
        <f>INDEX(products!$A$1:$G$49,MATCH(orders!$D615, products!$A$1:$A$49,0), MATCH(orders!K$1,products!$A$1:$G$1,0))</f>
        <v>0.5</v>
      </c>
      <c r="L615" s="5">
        <f>INDEX(products!$A$1:$G$49,MATCH(orders!$D615, products!$A$1:$A$49,0), MATCH(orders!L$1,products!$A$1:$G$1,0))</f>
        <v>5.97</v>
      </c>
      <c r="M615" s="5">
        <f t="shared" si="27"/>
        <v>5.97</v>
      </c>
      <c r="N615" t="str">
        <f t="shared" si="28"/>
        <v>Robusta</v>
      </c>
      <c r="O615" t="str">
        <f t="shared" si="29"/>
        <v>Medium</v>
      </c>
      <c r="P615" t="str">
        <f>_xlfn.XLOOKUP(Table1[[#This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IF(_xlfn.XLOOKUP(C616,customers!$A$1:$A$1001,customers!C615:C1615,,0)=0,"",_xlfn.XLOOKUP(C616,customers!$A$1:$A$1001,customers!C615:C1615,,0))</f>
        <v/>
      </c>
      <c r="H616" s="2" t="str">
        <f>_xlfn.XLOOKUP(orders!C616,customers!$A$1:$A$1001,customers!$G$1:$G$1001,,0)</f>
        <v>United Kingdom</v>
      </c>
      <c r="I616" t="str">
        <f>INDEX(products!$A$1:$G$49,MATCH(orders!$D616, products!$A$1:$A$49,0), MATCH(orders!I$1,products!$A$1:$G$1,0))</f>
        <v>Rob</v>
      </c>
      <c r="J616" t="str">
        <f>INDEX(products!$A$1:$G$49,MATCH(orders!$D616, products!$A$1:$A$49,0), MATCH(orders!J$1,products!$A$1:$G$1,0))</f>
        <v>M</v>
      </c>
      <c r="K616" s="4">
        <f>INDEX(products!$A$1:$G$49,MATCH(orders!$D616, products!$A$1:$A$49,0), MATCH(orders!K$1,products!$A$1:$G$1,0))</f>
        <v>0.5</v>
      </c>
      <c r="L616" s="5">
        <f>INDEX(products!$A$1:$G$49,MATCH(orders!$D616, products!$A$1:$A$49,0), MATCH(orders!L$1,products!$A$1:$G$1,0))</f>
        <v>5.97</v>
      </c>
      <c r="M616" s="5">
        <f t="shared" si="27"/>
        <v>29.849999999999998</v>
      </c>
      <c r="N616" t="str">
        <f t="shared" si="28"/>
        <v>Robusta</v>
      </c>
      <c r="O616" t="str">
        <f t="shared" si="29"/>
        <v>Medium</v>
      </c>
      <c r="P616" t="str">
        <f>_xlfn.XLOOKUP(Table1[[#This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IF(_xlfn.XLOOKUP(C617,customers!$A$1:$A$1001,customers!C616:C1616,,0)=0,"",_xlfn.XLOOKUP(C617,customers!$A$1:$A$1001,customers!C616:C1616,,0))</f>
        <v/>
      </c>
      <c r="H617" s="2" t="str">
        <f>_xlfn.XLOOKUP(orders!C617,customers!$A$1:$A$1001,customers!$G$1:$G$1001,,0)</f>
        <v>United States</v>
      </c>
      <c r="I617" t="str">
        <f>INDEX(products!$A$1:$G$49,MATCH(orders!$D617, products!$A$1:$A$49,0), MATCH(orders!I$1,products!$A$1:$G$1,0))</f>
        <v>Lib</v>
      </c>
      <c r="J617" t="str">
        <f>INDEX(products!$A$1:$G$49,MATCH(orders!$D617, products!$A$1:$A$49,0), MATCH(orders!J$1,products!$A$1:$G$1,0))</f>
        <v>L</v>
      </c>
      <c r="K617" s="4">
        <f>INDEX(products!$A$1:$G$49,MATCH(orders!$D617, products!$A$1:$A$49,0), MATCH(orders!K$1,products!$A$1:$G$1,0))</f>
        <v>2.5</v>
      </c>
      <c r="L617" s="5">
        <f>INDEX(products!$A$1:$G$49,MATCH(orders!$D617, products!$A$1:$A$49,0), MATCH(orders!L$1,products!$A$1:$G$1,0))</f>
        <v>36.454999999999998</v>
      </c>
      <c r="M617" s="5">
        <f t="shared" si="27"/>
        <v>72.91</v>
      </c>
      <c r="N617" t="str">
        <f t="shared" si="28"/>
        <v>Liberica</v>
      </c>
      <c r="O617" t="str">
        <f t="shared" si="29"/>
        <v>Light</v>
      </c>
      <c r="P617" t="str">
        <f>_xlfn.XLOOKUP(Table1[[#This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IF(_xlfn.XLOOKUP(C618,customers!$A$1:$A$1001,customers!C617:C1617,,0)=0,"",_xlfn.XLOOKUP(C618,customers!$A$1:$A$1001,customers!C617:C1617,,0))</f>
        <v/>
      </c>
      <c r="H618" s="2" t="str">
        <f>_xlfn.XLOOKUP(orders!C618,customers!$A$1:$A$1001,customers!$G$1:$G$1001,,0)</f>
        <v>United Kingdom</v>
      </c>
      <c r="I618" t="str">
        <f>INDEX(products!$A$1:$G$49,MATCH(orders!$D618, products!$A$1:$A$49,0), MATCH(orders!I$1,products!$A$1:$G$1,0))</f>
        <v>Exc</v>
      </c>
      <c r="J618" t="str">
        <f>INDEX(products!$A$1:$G$49,MATCH(orders!$D618, products!$A$1:$A$49,0), MATCH(orders!J$1,products!$A$1:$G$1,0))</f>
        <v>M</v>
      </c>
      <c r="K618" s="4">
        <f>INDEX(products!$A$1:$G$49,MATCH(orders!$D618, products!$A$1:$A$49,0), MATCH(orders!K$1,products!$A$1:$G$1,0))</f>
        <v>2.5</v>
      </c>
      <c r="L618" s="5">
        <f>INDEX(products!$A$1:$G$49,MATCH(orders!$D618, products!$A$1:$A$49,0), MATCH(orders!L$1,products!$A$1:$G$1,0))</f>
        <v>31.624999999999996</v>
      </c>
      <c r="M618" s="5">
        <f t="shared" si="27"/>
        <v>126.49999999999999</v>
      </c>
      <c r="N618" t="str">
        <f t="shared" si="28"/>
        <v>Excelsa</v>
      </c>
      <c r="O618" t="str">
        <f t="shared" si="29"/>
        <v>Medium</v>
      </c>
      <c r="P618" t="str">
        <f>_xlfn.XLOOKUP(Table1[[#This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IF(_xlfn.XLOOKUP(C619,customers!$A$1:$A$1001,customers!C618:C1618,,0)=0,"",_xlfn.XLOOKUP(C619,customers!$A$1:$A$1001,customers!C618:C1618,,0))</f>
        <v/>
      </c>
      <c r="H619" s="2" t="str">
        <f>_xlfn.XLOOKUP(orders!C619,customers!$A$1:$A$1001,customers!$G$1:$G$1001,,0)</f>
        <v>United States</v>
      </c>
      <c r="I619" t="str">
        <f>INDEX(products!$A$1:$G$49,MATCH(orders!$D619, products!$A$1:$A$49,0), MATCH(orders!I$1,products!$A$1:$G$1,0))</f>
        <v>Lib</v>
      </c>
      <c r="J619" t="str">
        <f>INDEX(products!$A$1:$G$49,MATCH(orders!$D619, products!$A$1:$A$49,0), MATCH(orders!J$1,products!$A$1:$G$1,0))</f>
        <v>M</v>
      </c>
      <c r="K619" s="4">
        <f>INDEX(products!$A$1:$G$49,MATCH(orders!$D619, products!$A$1:$A$49,0), MATCH(orders!K$1,products!$A$1:$G$1,0))</f>
        <v>2.5</v>
      </c>
      <c r="L619" s="5">
        <f>INDEX(products!$A$1:$G$49,MATCH(orders!$D619, products!$A$1:$A$49,0), MATCH(orders!L$1,products!$A$1:$G$1,0))</f>
        <v>33.464999999999996</v>
      </c>
      <c r="M619" s="5">
        <f t="shared" si="27"/>
        <v>33.464999999999996</v>
      </c>
      <c r="N619" t="str">
        <f t="shared" si="28"/>
        <v>Liberica</v>
      </c>
      <c r="O619" t="str">
        <f t="shared" si="29"/>
        <v>Medium</v>
      </c>
      <c r="P619" t="str">
        <f>_xlfn.XLOOKUP(Table1[[#This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IF(_xlfn.XLOOKUP(C620,customers!$A$1:$A$1001,customers!C619:C1619,,0)=0,"",_xlfn.XLOOKUP(C620,customers!$A$1:$A$1001,customers!C619:C1619,,0))</f>
        <v/>
      </c>
      <c r="H620" s="2" t="str">
        <f>_xlfn.XLOOKUP(orders!C620,customers!$A$1:$A$1001,customers!$G$1:$G$1001,,0)</f>
        <v>United States</v>
      </c>
      <c r="I620" t="str">
        <f>INDEX(products!$A$1:$G$49,MATCH(orders!$D620, products!$A$1:$A$49,0), MATCH(orders!I$1,products!$A$1:$G$1,0))</f>
        <v>Exc</v>
      </c>
      <c r="J620" t="str">
        <f>INDEX(products!$A$1:$G$49,MATCH(orders!$D620, products!$A$1:$A$49,0), MATCH(orders!J$1,products!$A$1:$G$1,0))</f>
        <v>D</v>
      </c>
      <c r="K620" s="4">
        <f>INDEX(products!$A$1:$G$49,MATCH(orders!$D620, products!$A$1:$A$49,0), MATCH(orders!K$1,products!$A$1:$G$1,0))</f>
        <v>1</v>
      </c>
      <c r="L620" s="5">
        <f>INDEX(products!$A$1:$G$49,MATCH(orders!$D620, products!$A$1:$A$49,0), MATCH(orders!L$1,products!$A$1:$G$1,0))</f>
        <v>12.15</v>
      </c>
      <c r="M620" s="5">
        <f t="shared" si="27"/>
        <v>72.900000000000006</v>
      </c>
      <c r="N620" t="str">
        <f t="shared" si="28"/>
        <v>Excelsa</v>
      </c>
      <c r="O620" t="str">
        <f t="shared" si="29"/>
        <v>Dark</v>
      </c>
      <c r="P620" t="str">
        <f>_xlfn.XLOOKUP(Table1[[#This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IF(_xlfn.XLOOKUP(C621,customers!$A$1:$A$1001,customers!C620:C1620,,0)=0,"",_xlfn.XLOOKUP(C621,customers!$A$1:$A$1001,customers!C620:C1620,,0))</f>
        <v/>
      </c>
      <c r="H621" s="2" t="str">
        <f>_xlfn.XLOOKUP(orders!C621,customers!$A$1:$A$1001,customers!$G$1:$G$1001,,0)</f>
        <v>United States</v>
      </c>
      <c r="I621" t="str">
        <f>INDEX(products!$A$1:$G$49,MATCH(orders!$D621, products!$A$1:$A$49,0), MATCH(orders!I$1,products!$A$1:$G$1,0))</f>
        <v>Lib</v>
      </c>
      <c r="J621" t="str">
        <f>INDEX(products!$A$1:$G$49,MATCH(orders!$D621, products!$A$1:$A$49,0), MATCH(orders!J$1,products!$A$1:$G$1,0))</f>
        <v>D</v>
      </c>
      <c r="K621" s="4">
        <f>INDEX(products!$A$1:$G$49,MATCH(orders!$D621, products!$A$1:$A$49,0), MATCH(orders!K$1,products!$A$1:$G$1,0))</f>
        <v>0.5</v>
      </c>
      <c r="L621" s="5">
        <f>INDEX(products!$A$1:$G$49,MATCH(orders!$D621, products!$A$1:$A$49,0), MATCH(orders!L$1,products!$A$1:$G$1,0))</f>
        <v>7.77</v>
      </c>
      <c r="M621" s="5">
        <f t="shared" si="27"/>
        <v>15.54</v>
      </c>
      <c r="N621" t="str">
        <f t="shared" si="28"/>
        <v>Liberica</v>
      </c>
      <c r="O621" t="str">
        <f t="shared" si="29"/>
        <v>Dark</v>
      </c>
      <c r="P621" t="str">
        <f>_xlfn.XLOOKUP(Table1[[#This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IF(_xlfn.XLOOKUP(C622,customers!$A$1:$A$1001,customers!C621:C1621,,0)=0,"",_xlfn.XLOOKUP(C622,customers!$A$1:$A$1001,customers!C621:C1621,,0))</f>
        <v/>
      </c>
      <c r="H622" s="2" t="str">
        <f>_xlfn.XLOOKUP(orders!C622,customers!$A$1:$A$1001,customers!$G$1:$G$1001,,0)</f>
        <v>United States</v>
      </c>
      <c r="I622" t="str">
        <f>INDEX(products!$A$1:$G$49,MATCH(orders!$D622, products!$A$1:$A$49,0), MATCH(orders!I$1,products!$A$1:$G$1,0))</f>
        <v>Ara</v>
      </c>
      <c r="J622" t="str">
        <f>INDEX(products!$A$1:$G$49,MATCH(orders!$D622, products!$A$1:$A$49,0), MATCH(orders!J$1,products!$A$1:$G$1,0))</f>
        <v>M</v>
      </c>
      <c r="K622" s="4">
        <f>INDEX(products!$A$1:$G$49,MATCH(orders!$D622, products!$A$1:$A$49,0), MATCH(orders!K$1,products!$A$1:$G$1,0))</f>
        <v>0.2</v>
      </c>
      <c r="L622" s="5">
        <f>INDEX(products!$A$1:$G$49,MATCH(orders!$D622, products!$A$1:$A$49,0), MATCH(orders!L$1,products!$A$1:$G$1,0))</f>
        <v>3.375</v>
      </c>
      <c r="M622" s="5">
        <f t="shared" si="27"/>
        <v>20.25</v>
      </c>
      <c r="N622" t="str">
        <f t="shared" si="28"/>
        <v>Arabica</v>
      </c>
      <c r="O622" t="str">
        <f t="shared" si="29"/>
        <v>Medium</v>
      </c>
      <c r="P622" t="str">
        <f>_xlfn.XLOOKUP(Table1[[#This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IF(_xlfn.XLOOKUP(C623,customers!$A$1:$A$1001,customers!C622:C1622,,0)=0,"",_xlfn.XLOOKUP(C623,customers!$A$1:$A$1001,customers!C622:C1622,,0))</f>
        <v/>
      </c>
      <c r="H623" s="2" t="str">
        <f>_xlfn.XLOOKUP(orders!C623,customers!$A$1:$A$1001,customers!$G$1:$G$1001,,0)</f>
        <v>United States</v>
      </c>
      <c r="I623" t="str">
        <f>INDEX(products!$A$1:$G$49,MATCH(orders!$D623, products!$A$1:$A$49,0), MATCH(orders!I$1,products!$A$1:$G$1,0))</f>
        <v>Ara</v>
      </c>
      <c r="J623" t="str">
        <f>INDEX(products!$A$1:$G$49,MATCH(orders!$D623, products!$A$1:$A$49,0), MATCH(orders!J$1,products!$A$1:$G$1,0))</f>
        <v>L</v>
      </c>
      <c r="K623" s="4">
        <f>INDEX(products!$A$1:$G$49,MATCH(orders!$D623, products!$A$1:$A$49,0), MATCH(orders!K$1,products!$A$1:$G$1,0))</f>
        <v>1</v>
      </c>
      <c r="L623" s="5">
        <f>INDEX(products!$A$1:$G$49,MATCH(orders!$D623, products!$A$1:$A$49,0), MATCH(orders!L$1,products!$A$1:$G$1,0))</f>
        <v>12.95</v>
      </c>
      <c r="M623" s="5">
        <f t="shared" si="27"/>
        <v>77.699999999999989</v>
      </c>
      <c r="N623" t="str">
        <f t="shared" si="28"/>
        <v>Arabica</v>
      </c>
      <c r="O623" t="str">
        <f t="shared" si="29"/>
        <v>Light</v>
      </c>
      <c r="P623" t="str">
        <f>_xlfn.XLOOKUP(Table1[[#This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IF(_xlfn.XLOOKUP(C624,customers!$A$1:$A$1001,customers!C623:C1623,,0)=0,"",_xlfn.XLOOKUP(C624,customers!$A$1:$A$1001,customers!C623:C1623,,0))</f>
        <v/>
      </c>
      <c r="H624" s="2" t="str">
        <f>_xlfn.XLOOKUP(orders!C624,customers!$A$1:$A$1001,customers!$G$1:$G$1001,,0)</f>
        <v>United States</v>
      </c>
      <c r="I624" t="str">
        <f>INDEX(products!$A$1:$G$49,MATCH(orders!$D624, products!$A$1:$A$49,0), MATCH(orders!I$1,products!$A$1:$G$1,0))</f>
        <v>Lib</v>
      </c>
      <c r="J624" t="str">
        <f>INDEX(products!$A$1:$G$49,MATCH(orders!$D624, products!$A$1:$A$49,0), MATCH(orders!J$1,products!$A$1:$G$1,0))</f>
        <v>M</v>
      </c>
      <c r="K624" s="4">
        <f>INDEX(products!$A$1:$G$49,MATCH(orders!$D624, products!$A$1:$A$49,0), MATCH(orders!K$1,products!$A$1:$G$1,0))</f>
        <v>2.5</v>
      </c>
      <c r="L624" s="5">
        <f>INDEX(products!$A$1:$G$49,MATCH(orders!$D624, products!$A$1:$A$49,0), MATCH(orders!L$1,products!$A$1:$G$1,0))</f>
        <v>33.464999999999996</v>
      </c>
      <c r="M624" s="5">
        <f t="shared" si="27"/>
        <v>133.85999999999999</v>
      </c>
      <c r="N624" t="str">
        <f t="shared" si="28"/>
        <v>Liberica</v>
      </c>
      <c r="O624" t="str">
        <f t="shared" si="29"/>
        <v>Medium</v>
      </c>
      <c r="P624" t="str">
        <f>_xlfn.XLOOKUP(Table1[[#This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IF(_xlfn.XLOOKUP(C625,customers!$A$1:$A$1001,customers!C624:C1624,,0)=0,"",_xlfn.XLOOKUP(C625,customers!$A$1:$A$1001,customers!C624:C1624,,0))</f>
        <v/>
      </c>
      <c r="H625" s="2" t="str">
        <f>_xlfn.XLOOKUP(orders!C625,customers!$A$1:$A$1001,customers!$G$1:$G$1001,,0)</f>
        <v>United Kingdom</v>
      </c>
      <c r="I625" t="str">
        <f>INDEX(products!$A$1:$G$49,MATCH(orders!$D625, products!$A$1:$A$49,0), MATCH(orders!I$1,products!$A$1:$G$1,0))</f>
        <v>Exc</v>
      </c>
      <c r="J625" t="str">
        <f>INDEX(products!$A$1:$G$49,MATCH(orders!$D625, products!$A$1:$A$49,0), MATCH(orders!J$1,products!$A$1:$G$1,0))</f>
        <v>D</v>
      </c>
      <c r="K625" s="4">
        <f>INDEX(products!$A$1:$G$49,MATCH(orders!$D625, products!$A$1:$A$49,0), MATCH(orders!K$1,products!$A$1:$G$1,0))</f>
        <v>1</v>
      </c>
      <c r="L625" s="5">
        <f>INDEX(products!$A$1:$G$49,MATCH(orders!$D625, products!$A$1:$A$49,0), MATCH(orders!L$1,products!$A$1:$G$1,0))</f>
        <v>12.15</v>
      </c>
      <c r="M625" s="5">
        <f t="shared" si="27"/>
        <v>12.15</v>
      </c>
      <c r="N625" t="str">
        <f t="shared" si="28"/>
        <v>Excelsa</v>
      </c>
      <c r="O625" t="str">
        <f t="shared" si="29"/>
        <v>Dark</v>
      </c>
      <c r="P625" t="str">
        <f>_xlfn.XLOOKUP(Table1[[#This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IF(_xlfn.XLOOKUP(C626,customers!$A$1:$A$1001,customers!C625:C1625,,0)=0,"",_xlfn.XLOOKUP(C626,customers!$A$1:$A$1001,customers!C625:C1625,,0))</f>
        <v/>
      </c>
      <c r="H626" s="2" t="str">
        <f>_xlfn.XLOOKUP(orders!C626,customers!$A$1:$A$1001,customers!$G$1:$G$1001,,0)</f>
        <v>Ireland</v>
      </c>
      <c r="I626" t="str">
        <f>INDEX(products!$A$1:$G$49,MATCH(orders!$D626, products!$A$1:$A$49,0), MATCH(orders!I$1,products!$A$1:$G$1,0))</f>
        <v>Exc</v>
      </c>
      <c r="J626" t="str">
        <f>INDEX(products!$A$1:$G$49,MATCH(orders!$D626, products!$A$1:$A$49,0), MATCH(orders!J$1,products!$A$1:$G$1,0))</f>
        <v>M</v>
      </c>
      <c r="K626" s="4">
        <f>INDEX(products!$A$1:$G$49,MATCH(orders!$D626, products!$A$1:$A$49,0), MATCH(orders!K$1,products!$A$1:$G$1,0))</f>
        <v>2.5</v>
      </c>
      <c r="L626" s="5">
        <f>INDEX(products!$A$1:$G$49,MATCH(orders!$D626, products!$A$1:$A$49,0), MATCH(orders!L$1,products!$A$1:$G$1,0))</f>
        <v>31.624999999999996</v>
      </c>
      <c r="M626" s="5">
        <f t="shared" si="27"/>
        <v>63.249999999999993</v>
      </c>
      <c r="N626" t="str">
        <f t="shared" si="28"/>
        <v>Excelsa</v>
      </c>
      <c r="O626" t="str">
        <f t="shared" si="29"/>
        <v>Medium</v>
      </c>
      <c r="P626" t="str">
        <f>_xlfn.XLOOKUP(Table1[[#This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IF(_xlfn.XLOOKUP(C627,customers!$A$1:$A$1001,customers!C626:C1626,,0)=0,"",_xlfn.XLOOKUP(C627,customers!$A$1:$A$1001,customers!C626:C1626,,0))</f>
        <v/>
      </c>
      <c r="H627" s="2" t="str">
        <f>_xlfn.XLOOKUP(orders!C627,customers!$A$1:$A$1001,customers!$G$1:$G$1001,,0)</f>
        <v>United States</v>
      </c>
      <c r="I627" t="str">
        <f>INDEX(products!$A$1:$G$49,MATCH(orders!$D627, products!$A$1:$A$49,0), MATCH(orders!I$1,products!$A$1:$G$1,0))</f>
        <v>Rob</v>
      </c>
      <c r="J627" t="str">
        <f>INDEX(products!$A$1:$G$49,MATCH(orders!$D627, products!$A$1:$A$49,0), MATCH(orders!J$1,products!$A$1:$G$1,0))</f>
        <v>L</v>
      </c>
      <c r="K627" s="4">
        <f>INDEX(products!$A$1:$G$49,MATCH(orders!$D627, products!$A$1:$A$49,0), MATCH(orders!K$1,products!$A$1:$G$1,0))</f>
        <v>0.5</v>
      </c>
      <c r="L627" s="5">
        <f>INDEX(products!$A$1:$G$49,MATCH(orders!$D627, products!$A$1:$A$49,0), MATCH(orders!L$1,products!$A$1:$G$1,0))</f>
        <v>7.169999999999999</v>
      </c>
      <c r="M627" s="5">
        <f t="shared" si="27"/>
        <v>35.849999999999994</v>
      </c>
      <c r="N627" t="str">
        <f t="shared" si="28"/>
        <v>Robusta</v>
      </c>
      <c r="O627" t="str">
        <f t="shared" si="29"/>
        <v>Light</v>
      </c>
      <c r="P627" t="str">
        <f>_xlfn.XLOOKUP(Table1[[#This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IF(_xlfn.XLOOKUP(C628,customers!$A$1:$A$1001,customers!C627:C1627,,0)=0,"",_xlfn.XLOOKUP(C628,customers!$A$1:$A$1001,customers!C627:C1627,,0))</f>
        <v/>
      </c>
      <c r="H628" s="2" t="str">
        <f>_xlfn.XLOOKUP(orders!C628,customers!$A$1:$A$1001,customers!$G$1:$G$1001,,0)</f>
        <v>United States</v>
      </c>
      <c r="I628" t="str">
        <f>INDEX(products!$A$1:$G$49,MATCH(orders!$D628, products!$A$1:$A$49,0), MATCH(orders!I$1,products!$A$1:$G$1,0))</f>
        <v>Ara</v>
      </c>
      <c r="J628" t="str">
        <f>INDEX(products!$A$1:$G$49,MATCH(orders!$D628, products!$A$1:$A$49,0), MATCH(orders!J$1,products!$A$1:$G$1,0))</f>
        <v>M</v>
      </c>
      <c r="K628" s="4">
        <f>INDEX(products!$A$1:$G$49,MATCH(orders!$D628, products!$A$1:$A$49,0), MATCH(orders!K$1,products!$A$1:$G$1,0))</f>
        <v>2.5</v>
      </c>
      <c r="L628" s="5">
        <f>INDEX(products!$A$1:$G$49,MATCH(orders!$D628, products!$A$1:$A$49,0), MATCH(orders!L$1,products!$A$1:$G$1,0))</f>
        <v>25.874999999999996</v>
      </c>
      <c r="M628" s="5">
        <f t="shared" si="27"/>
        <v>77.624999999999986</v>
      </c>
      <c r="N628" t="str">
        <f t="shared" si="28"/>
        <v>Arabica</v>
      </c>
      <c r="O628" t="str">
        <f t="shared" si="29"/>
        <v>Medium</v>
      </c>
      <c r="P628" t="str">
        <f>_xlfn.XLOOKUP(Table1[[#This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IF(_xlfn.XLOOKUP(C629,customers!$A$1:$A$1001,customers!C628:C1628,,0)=0,"",_xlfn.XLOOKUP(C629,customers!$A$1:$A$1001,customers!C628:C1628,,0))</f>
        <v/>
      </c>
      <c r="H629" s="2" t="str">
        <f>_xlfn.XLOOKUP(orders!C629,customers!$A$1:$A$1001,customers!$G$1:$G$1001,,0)</f>
        <v>United States</v>
      </c>
      <c r="I629" t="str">
        <f>INDEX(products!$A$1:$G$49,MATCH(orders!$D629, products!$A$1:$A$49,0), MATCH(orders!I$1,products!$A$1:$G$1,0))</f>
        <v>Exc</v>
      </c>
      <c r="J629" t="str">
        <f>INDEX(products!$A$1:$G$49,MATCH(orders!$D629, products!$A$1:$A$49,0), MATCH(orders!J$1,products!$A$1:$G$1,0))</f>
        <v>M</v>
      </c>
      <c r="K629" s="4">
        <f>INDEX(products!$A$1:$G$49,MATCH(orders!$D629, products!$A$1:$A$49,0), MATCH(orders!K$1,products!$A$1:$G$1,0))</f>
        <v>2.5</v>
      </c>
      <c r="L629" s="5">
        <f>INDEX(products!$A$1:$G$49,MATCH(orders!$D629, products!$A$1:$A$49,0), MATCH(orders!L$1,products!$A$1:$G$1,0))</f>
        <v>31.624999999999996</v>
      </c>
      <c r="M629" s="5">
        <f t="shared" si="27"/>
        <v>63.249999999999993</v>
      </c>
      <c r="N629" t="str">
        <f t="shared" si="28"/>
        <v>Excelsa</v>
      </c>
      <c r="O629" t="str">
        <f t="shared" si="29"/>
        <v>Medium</v>
      </c>
      <c r="P629" t="str">
        <f>_xlfn.XLOOKUP(Table1[[#This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IF(_xlfn.XLOOKUP(C630,customers!$A$1:$A$1001,customers!C629:C1629,,0)=0,"",_xlfn.XLOOKUP(C630,customers!$A$1:$A$1001,customers!C629:C1629,,0))</f>
        <v/>
      </c>
      <c r="H630" s="2" t="str">
        <f>_xlfn.XLOOKUP(orders!C630,customers!$A$1:$A$1001,customers!$G$1:$G$1001,,0)</f>
        <v>Ireland</v>
      </c>
      <c r="I630" t="str">
        <f>INDEX(products!$A$1:$G$49,MATCH(orders!$D630, products!$A$1:$A$49,0), MATCH(orders!I$1,products!$A$1:$G$1,0))</f>
        <v>Exc</v>
      </c>
      <c r="J630" t="str">
        <f>INDEX(products!$A$1:$G$49,MATCH(orders!$D630, products!$A$1:$A$49,0), MATCH(orders!J$1,products!$A$1:$G$1,0))</f>
        <v>L</v>
      </c>
      <c r="K630" s="4">
        <f>INDEX(products!$A$1:$G$49,MATCH(orders!$D630, products!$A$1:$A$49,0), MATCH(orders!K$1,products!$A$1:$G$1,0))</f>
        <v>0.2</v>
      </c>
      <c r="L630" s="5">
        <f>INDEX(products!$A$1:$G$49,MATCH(orders!$D630, products!$A$1:$A$49,0), MATCH(orders!L$1,products!$A$1:$G$1,0))</f>
        <v>4.4550000000000001</v>
      </c>
      <c r="M630" s="5">
        <f t="shared" si="27"/>
        <v>26.73</v>
      </c>
      <c r="N630" t="str">
        <f t="shared" si="28"/>
        <v>Excelsa</v>
      </c>
      <c r="O630" t="str">
        <f t="shared" si="29"/>
        <v>Light</v>
      </c>
      <c r="P630" t="str">
        <f>_xlfn.XLOOKUP(Table1[[#This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IF(_xlfn.XLOOKUP(C631,customers!$A$1:$A$1001,customers!C630:C1630,,0)=0,"",_xlfn.XLOOKUP(C631,customers!$A$1:$A$1001,customers!C630:C1630,,0))</f>
        <v/>
      </c>
      <c r="H631" s="2" t="str">
        <f>_xlfn.XLOOKUP(orders!C631,customers!$A$1:$A$1001,customers!$G$1:$G$1001,,0)</f>
        <v>Ireland</v>
      </c>
      <c r="I631" t="str">
        <f>INDEX(products!$A$1:$G$49,MATCH(orders!$D631, products!$A$1:$A$49,0), MATCH(orders!I$1,products!$A$1:$G$1,0))</f>
        <v>Lib</v>
      </c>
      <c r="J631" t="str">
        <f>INDEX(products!$A$1:$G$49,MATCH(orders!$D631, products!$A$1:$A$49,0), MATCH(orders!J$1,products!$A$1:$G$1,0))</f>
        <v>D</v>
      </c>
      <c r="K631" s="4">
        <f>INDEX(products!$A$1:$G$49,MATCH(orders!$D631, products!$A$1:$A$49,0), MATCH(orders!K$1,products!$A$1:$G$1,0))</f>
        <v>0.5</v>
      </c>
      <c r="L631" s="5">
        <f>INDEX(products!$A$1:$G$49,MATCH(orders!$D631, products!$A$1:$A$49,0), MATCH(orders!L$1,products!$A$1:$G$1,0))</f>
        <v>7.77</v>
      </c>
      <c r="M631" s="5">
        <f t="shared" si="27"/>
        <v>31.08</v>
      </c>
      <c r="N631" t="str">
        <f t="shared" si="28"/>
        <v>Liberica</v>
      </c>
      <c r="O631" t="str">
        <f t="shared" si="29"/>
        <v>Dark</v>
      </c>
      <c r="P631" t="str">
        <f>_xlfn.XLOOKUP(Table1[[#This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IF(_xlfn.XLOOKUP(C632,customers!$A$1:$A$1001,customers!C631:C1631,,0)=0,"",_xlfn.XLOOKUP(C632,customers!$A$1:$A$1001,customers!C631:C1631,,0))</f>
        <v/>
      </c>
      <c r="H632" s="2" t="str">
        <f>_xlfn.XLOOKUP(orders!C632,customers!$A$1:$A$1001,customers!$G$1:$G$1001,,0)</f>
        <v>Ireland</v>
      </c>
      <c r="I632" t="str">
        <f>INDEX(products!$A$1:$G$49,MATCH(orders!$D632, products!$A$1:$A$49,0), MATCH(orders!I$1,products!$A$1:$G$1,0))</f>
        <v>Ara</v>
      </c>
      <c r="J632" t="str">
        <f>INDEX(products!$A$1:$G$49,MATCH(orders!$D632, products!$A$1:$A$49,0), MATCH(orders!J$1,products!$A$1:$G$1,0))</f>
        <v>D</v>
      </c>
      <c r="K632" s="4">
        <f>INDEX(products!$A$1:$G$49,MATCH(orders!$D632, products!$A$1:$A$49,0), MATCH(orders!K$1,products!$A$1:$G$1,0))</f>
        <v>0.2</v>
      </c>
      <c r="L632" s="5">
        <f>INDEX(products!$A$1:$G$49,MATCH(orders!$D632, products!$A$1:$A$49,0), MATCH(orders!L$1,products!$A$1:$G$1,0))</f>
        <v>2.9849999999999999</v>
      </c>
      <c r="M632" s="5">
        <f t="shared" si="27"/>
        <v>2.9849999999999999</v>
      </c>
      <c r="N632" t="str">
        <f t="shared" si="28"/>
        <v>Arabica</v>
      </c>
      <c r="O632" t="str">
        <f t="shared" si="29"/>
        <v>Dark</v>
      </c>
      <c r="P632" t="str">
        <f>_xlfn.XLOOKUP(Table1[[#This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IF(_xlfn.XLOOKUP(C633,customers!$A$1:$A$1001,customers!C632:C1632,,0)=0,"",_xlfn.XLOOKUP(C633,customers!$A$1:$A$1001,customers!C632:C1632,,0))</f>
        <v/>
      </c>
      <c r="H633" s="2" t="str">
        <f>_xlfn.XLOOKUP(orders!C633,customers!$A$1:$A$1001,customers!$G$1:$G$1001,,0)</f>
        <v>Ireland</v>
      </c>
      <c r="I633" t="str">
        <f>INDEX(products!$A$1:$G$49,MATCH(orders!$D633, products!$A$1:$A$49,0), MATCH(orders!I$1,products!$A$1:$G$1,0))</f>
        <v>Rob</v>
      </c>
      <c r="J633" t="str">
        <f>INDEX(products!$A$1:$G$49,MATCH(orders!$D633, products!$A$1:$A$49,0), MATCH(orders!J$1,products!$A$1:$G$1,0))</f>
        <v>D</v>
      </c>
      <c r="K633" s="4">
        <f>INDEX(products!$A$1:$G$49,MATCH(orders!$D633, products!$A$1:$A$49,0), MATCH(orders!K$1,products!$A$1:$G$1,0))</f>
        <v>2.5</v>
      </c>
      <c r="L633" s="5">
        <f>INDEX(products!$A$1:$G$49,MATCH(orders!$D633, products!$A$1:$A$49,0), MATCH(orders!L$1,products!$A$1:$G$1,0))</f>
        <v>20.584999999999997</v>
      </c>
      <c r="M633" s="5">
        <f t="shared" si="27"/>
        <v>102.92499999999998</v>
      </c>
      <c r="N633" t="str">
        <f t="shared" si="28"/>
        <v>Robusta</v>
      </c>
      <c r="O633" t="str">
        <f t="shared" si="29"/>
        <v>Dark</v>
      </c>
      <c r="P633" t="str">
        <f>_xlfn.XLOOKUP(Table1[[#This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IF(_xlfn.XLOOKUP(C634,customers!$A$1:$A$1001,customers!C633:C1633,,0)=0,"",_xlfn.XLOOKUP(C634,customers!$A$1:$A$1001,customers!C633:C1633,,0))</f>
        <v/>
      </c>
      <c r="H634" s="2" t="str">
        <f>_xlfn.XLOOKUP(orders!C634,customers!$A$1:$A$1001,customers!$G$1:$G$1001,,0)</f>
        <v>United States</v>
      </c>
      <c r="I634" t="str">
        <f>INDEX(products!$A$1:$G$49,MATCH(orders!$D634, products!$A$1:$A$49,0), MATCH(orders!I$1,products!$A$1:$G$1,0))</f>
        <v>Exc</v>
      </c>
      <c r="J634" t="str">
        <f>INDEX(products!$A$1:$G$49,MATCH(orders!$D634, products!$A$1:$A$49,0), MATCH(orders!J$1,products!$A$1:$G$1,0))</f>
        <v>L</v>
      </c>
      <c r="K634" s="4">
        <f>INDEX(products!$A$1:$G$49,MATCH(orders!$D634, products!$A$1:$A$49,0), MATCH(orders!K$1,products!$A$1:$G$1,0))</f>
        <v>0.5</v>
      </c>
      <c r="L634" s="5">
        <f>INDEX(products!$A$1:$G$49,MATCH(orders!$D634, products!$A$1:$A$49,0), MATCH(orders!L$1,products!$A$1:$G$1,0))</f>
        <v>8.91</v>
      </c>
      <c r="M634" s="5">
        <f t="shared" si="27"/>
        <v>35.64</v>
      </c>
      <c r="N634" t="str">
        <f t="shared" si="28"/>
        <v>Excelsa</v>
      </c>
      <c r="O634" t="str">
        <f t="shared" si="29"/>
        <v>Light</v>
      </c>
      <c r="P634" t="str">
        <f>_xlfn.XLOOKUP(Table1[[#This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IF(_xlfn.XLOOKUP(C635,customers!$A$1:$A$1001,customers!C634:C1634,,0)=0,"",_xlfn.XLOOKUP(C635,customers!$A$1:$A$1001,customers!C634:C1634,,0))</f>
        <v/>
      </c>
      <c r="H635" s="2" t="str">
        <f>_xlfn.XLOOKUP(orders!C635,customers!$A$1:$A$1001,customers!$G$1:$G$1001,,0)</f>
        <v>United States</v>
      </c>
      <c r="I635" t="str">
        <f>INDEX(products!$A$1:$G$49,MATCH(orders!$D635, products!$A$1:$A$49,0), MATCH(orders!I$1,products!$A$1:$G$1,0))</f>
        <v>Rob</v>
      </c>
      <c r="J635" t="str">
        <f>INDEX(products!$A$1:$G$49,MATCH(orders!$D635, products!$A$1:$A$49,0), MATCH(orders!J$1,products!$A$1:$G$1,0))</f>
        <v>L</v>
      </c>
      <c r="K635" s="4">
        <f>INDEX(products!$A$1:$G$49,MATCH(orders!$D635, products!$A$1:$A$49,0), MATCH(orders!K$1,products!$A$1:$G$1,0))</f>
        <v>1</v>
      </c>
      <c r="L635" s="5">
        <f>INDEX(products!$A$1:$G$49,MATCH(orders!$D635, products!$A$1:$A$49,0), MATCH(orders!L$1,products!$A$1:$G$1,0))</f>
        <v>11.95</v>
      </c>
      <c r="M635" s="5">
        <f t="shared" si="27"/>
        <v>47.8</v>
      </c>
      <c r="N635" t="str">
        <f t="shared" si="28"/>
        <v>Robusta</v>
      </c>
      <c r="O635" t="str">
        <f t="shared" si="29"/>
        <v>Light</v>
      </c>
      <c r="P635" t="str">
        <f>_xlfn.XLOOKUP(Table1[[#This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IF(_xlfn.XLOOKUP(C636,customers!$A$1:$A$1001,customers!C635:C1635,,0)=0,"",_xlfn.XLOOKUP(C636,customers!$A$1:$A$1001,customers!C635:C1635,,0))</f>
        <v/>
      </c>
      <c r="H636" s="2" t="str">
        <f>_xlfn.XLOOKUP(orders!C636,customers!$A$1:$A$1001,customers!$G$1:$G$1001,,0)</f>
        <v>United States</v>
      </c>
      <c r="I636" t="str">
        <f>INDEX(products!$A$1:$G$49,MATCH(orders!$D636, products!$A$1:$A$49,0), MATCH(orders!I$1,products!$A$1:$G$1,0))</f>
        <v>Lib</v>
      </c>
      <c r="J636" t="str">
        <f>INDEX(products!$A$1:$G$49,MATCH(orders!$D636, products!$A$1:$A$49,0), MATCH(orders!J$1,products!$A$1:$G$1,0))</f>
        <v>M</v>
      </c>
      <c r="K636" s="4">
        <f>INDEX(products!$A$1:$G$49,MATCH(orders!$D636, products!$A$1:$A$49,0), MATCH(orders!K$1,products!$A$1:$G$1,0))</f>
        <v>1</v>
      </c>
      <c r="L636" s="5">
        <f>INDEX(products!$A$1:$G$49,MATCH(orders!$D636, products!$A$1:$A$49,0), MATCH(orders!L$1,products!$A$1:$G$1,0))</f>
        <v>14.55</v>
      </c>
      <c r="M636" s="5">
        <f t="shared" si="27"/>
        <v>43.650000000000006</v>
      </c>
      <c r="N636" t="str">
        <f t="shared" si="28"/>
        <v>Liberica</v>
      </c>
      <c r="O636" t="str">
        <f t="shared" si="29"/>
        <v>Medium</v>
      </c>
      <c r="P636" t="str">
        <f>_xlfn.XLOOKUP(Table1[[#This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IF(_xlfn.XLOOKUP(C637,customers!$A$1:$A$1001,customers!C636:C1636,,0)=0,"",_xlfn.XLOOKUP(C637,customers!$A$1:$A$1001,customers!C636:C1636,,0))</f>
        <v/>
      </c>
      <c r="H637" s="2" t="str">
        <f>_xlfn.XLOOKUP(orders!C637,customers!$A$1:$A$1001,customers!$G$1:$G$1001,,0)</f>
        <v>United States</v>
      </c>
      <c r="I637" t="str">
        <f>INDEX(products!$A$1:$G$49,MATCH(orders!$D637, products!$A$1:$A$49,0), MATCH(orders!I$1,products!$A$1:$G$1,0))</f>
        <v>Exc</v>
      </c>
      <c r="J637" t="str">
        <f>INDEX(products!$A$1:$G$49,MATCH(orders!$D637, products!$A$1:$A$49,0), MATCH(orders!J$1,products!$A$1:$G$1,0))</f>
        <v>L</v>
      </c>
      <c r="K637" s="4">
        <f>INDEX(products!$A$1:$G$49,MATCH(orders!$D637, products!$A$1:$A$49,0), MATCH(orders!K$1,products!$A$1:$G$1,0))</f>
        <v>0.5</v>
      </c>
      <c r="L637" s="5">
        <f>INDEX(products!$A$1:$G$49,MATCH(orders!$D637, products!$A$1:$A$49,0), MATCH(orders!L$1,products!$A$1:$G$1,0))</f>
        <v>8.91</v>
      </c>
      <c r="M637" s="5">
        <f t="shared" si="27"/>
        <v>35.64</v>
      </c>
      <c r="N637" t="str">
        <f t="shared" si="28"/>
        <v>Excelsa</v>
      </c>
      <c r="O637" t="str">
        <f t="shared" si="29"/>
        <v>Light</v>
      </c>
      <c r="P637" t="str">
        <f>_xlfn.XLOOKUP(Table1[[#This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IF(_xlfn.XLOOKUP(C638,customers!$A$1:$A$1001,customers!C637:C1637,,0)=0,"",_xlfn.XLOOKUP(C638,customers!$A$1:$A$1001,customers!C637:C1637,,0))</f>
        <v/>
      </c>
      <c r="H638" s="2" t="str">
        <f>_xlfn.XLOOKUP(orders!C638,customers!$A$1:$A$1001,customers!$G$1:$G$1001,,0)</f>
        <v>United States</v>
      </c>
      <c r="I638" t="str">
        <f>INDEX(products!$A$1:$G$49,MATCH(orders!$D638, products!$A$1:$A$49,0), MATCH(orders!I$1,products!$A$1:$G$1,0))</f>
        <v>Lib</v>
      </c>
      <c r="J638" t="str">
        <f>INDEX(products!$A$1:$G$49,MATCH(orders!$D638, products!$A$1:$A$49,0), MATCH(orders!J$1,products!$A$1:$G$1,0))</f>
        <v>L</v>
      </c>
      <c r="K638" s="4">
        <f>INDEX(products!$A$1:$G$49,MATCH(orders!$D638, products!$A$1:$A$49,0), MATCH(orders!K$1,products!$A$1:$G$1,0))</f>
        <v>1</v>
      </c>
      <c r="L638" s="5">
        <f>INDEX(products!$A$1:$G$49,MATCH(orders!$D638, products!$A$1:$A$49,0), MATCH(orders!L$1,products!$A$1:$G$1,0))</f>
        <v>15.85</v>
      </c>
      <c r="M638" s="5">
        <f t="shared" si="27"/>
        <v>95.1</v>
      </c>
      <c r="N638" t="str">
        <f t="shared" si="28"/>
        <v>Liberica</v>
      </c>
      <c r="O638" t="str">
        <f t="shared" si="29"/>
        <v>Light</v>
      </c>
      <c r="P638" t="str">
        <f>_xlfn.XLOOKUP(Table1[[#This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IF(_xlfn.XLOOKUP(C639,customers!$A$1:$A$1001,customers!C638:C1638,,0)=0,"",_xlfn.XLOOKUP(C639,customers!$A$1:$A$1001,customers!C638:C1638,,0))</f>
        <v/>
      </c>
      <c r="H639" s="2" t="str">
        <f>_xlfn.XLOOKUP(orders!C639,customers!$A$1:$A$1001,customers!$G$1:$G$1001,,0)</f>
        <v>Ireland</v>
      </c>
      <c r="I639" t="str">
        <f>INDEX(products!$A$1:$G$49,MATCH(orders!$D639, products!$A$1:$A$49,0), MATCH(orders!I$1,products!$A$1:$G$1,0))</f>
        <v>Exc</v>
      </c>
      <c r="J639" t="str">
        <f>INDEX(products!$A$1:$G$49,MATCH(orders!$D639, products!$A$1:$A$49,0), MATCH(orders!J$1,products!$A$1:$G$1,0))</f>
        <v>M</v>
      </c>
      <c r="K639" s="4">
        <f>INDEX(products!$A$1:$G$49,MATCH(orders!$D639, products!$A$1:$A$49,0), MATCH(orders!K$1,products!$A$1:$G$1,0))</f>
        <v>2.5</v>
      </c>
      <c r="L639" s="5">
        <f>INDEX(products!$A$1:$G$49,MATCH(orders!$D639, products!$A$1:$A$49,0), MATCH(orders!L$1,products!$A$1:$G$1,0))</f>
        <v>31.624999999999996</v>
      </c>
      <c r="M639" s="5">
        <f t="shared" si="27"/>
        <v>31.624999999999996</v>
      </c>
      <c r="N639" t="str">
        <f t="shared" si="28"/>
        <v>Excelsa</v>
      </c>
      <c r="O639" t="str">
        <f t="shared" si="29"/>
        <v>Medium</v>
      </c>
      <c r="P639" t="str">
        <f>_xlfn.XLOOKUP(Table1[[#This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IF(_xlfn.XLOOKUP(C640,customers!$A$1:$A$1001,customers!C639:C1639,,0)=0,"",_xlfn.XLOOKUP(C640,customers!$A$1:$A$1001,customers!C639:C1639,,0))</f>
        <v/>
      </c>
      <c r="H640" s="2" t="str">
        <f>_xlfn.XLOOKUP(orders!C640,customers!$A$1:$A$1001,customers!$G$1:$G$1001,,0)</f>
        <v>Ireland</v>
      </c>
      <c r="I640" t="str">
        <f>INDEX(products!$A$1:$G$49,MATCH(orders!$D640, products!$A$1:$A$49,0), MATCH(orders!I$1,products!$A$1:$G$1,0))</f>
        <v>Ara</v>
      </c>
      <c r="J640" t="str">
        <f>INDEX(products!$A$1:$G$49,MATCH(orders!$D640, products!$A$1:$A$49,0), MATCH(orders!J$1,products!$A$1:$G$1,0))</f>
        <v>M</v>
      </c>
      <c r="K640" s="4">
        <f>INDEX(products!$A$1:$G$49,MATCH(orders!$D640, products!$A$1:$A$49,0), MATCH(orders!K$1,products!$A$1:$G$1,0))</f>
        <v>2.5</v>
      </c>
      <c r="L640" s="5">
        <f>INDEX(products!$A$1:$G$49,MATCH(orders!$D640, products!$A$1:$A$49,0), MATCH(orders!L$1,products!$A$1:$G$1,0))</f>
        <v>25.874999999999996</v>
      </c>
      <c r="M640" s="5">
        <f t="shared" si="27"/>
        <v>77.624999999999986</v>
      </c>
      <c r="N640" t="str">
        <f t="shared" si="28"/>
        <v>Arabica</v>
      </c>
      <c r="O640" t="str">
        <f t="shared" si="29"/>
        <v>Medium</v>
      </c>
      <c r="P640" t="str">
        <f>_xlfn.XLOOKUP(Table1[[#This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IF(_xlfn.XLOOKUP(C641,customers!$A$1:$A$1001,customers!C640:C1640,,0)=0,"",_xlfn.XLOOKUP(C641,customers!$A$1:$A$1001,customers!C640:C1640,,0))</f>
        <v/>
      </c>
      <c r="H641" s="2" t="str">
        <f>_xlfn.XLOOKUP(orders!C641,customers!$A$1:$A$1001,customers!$G$1:$G$1001,,0)</f>
        <v>United States</v>
      </c>
      <c r="I641" t="str">
        <f>INDEX(products!$A$1:$G$49,MATCH(orders!$D641, products!$A$1:$A$49,0), MATCH(orders!I$1,products!$A$1:$G$1,0))</f>
        <v>Lib</v>
      </c>
      <c r="J641" t="str">
        <f>INDEX(products!$A$1:$G$49,MATCH(orders!$D641, products!$A$1:$A$49,0), MATCH(orders!J$1,products!$A$1:$G$1,0))</f>
        <v>D</v>
      </c>
      <c r="K641" s="4">
        <f>INDEX(products!$A$1:$G$49,MATCH(orders!$D641, products!$A$1:$A$49,0), MATCH(orders!K$1,products!$A$1:$G$1,0))</f>
        <v>0.2</v>
      </c>
      <c r="L641" s="5">
        <f>INDEX(products!$A$1:$G$49,MATCH(orders!$D641, products!$A$1:$A$49,0), MATCH(orders!L$1,products!$A$1:$G$1,0))</f>
        <v>3.8849999999999998</v>
      </c>
      <c r="M641" s="5">
        <f t="shared" si="27"/>
        <v>3.8849999999999998</v>
      </c>
      <c r="N641" t="str">
        <f t="shared" si="28"/>
        <v>Liberica</v>
      </c>
      <c r="O641" t="str">
        <f t="shared" si="29"/>
        <v>Dark</v>
      </c>
      <c r="P641" t="str">
        <f>_xlfn.XLOOKUP(Table1[[#This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IF(_xlfn.XLOOKUP(C642,customers!$A$1:$A$1001,customers!C641:C1641,,0)=0,"",_xlfn.XLOOKUP(C642,customers!$A$1:$A$1001,customers!C641:C1641,,0))</f>
        <v/>
      </c>
      <c r="H642" s="2" t="str">
        <f>_xlfn.XLOOKUP(orders!C642,customers!$A$1:$A$1001,customers!$G$1:$G$1001,,0)</f>
        <v>United States</v>
      </c>
      <c r="I642" t="str">
        <f>INDEX(products!$A$1:$G$49,MATCH(orders!$D642, products!$A$1:$A$49,0), MATCH(orders!I$1,products!$A$1:$G$1,0))</f>
        <v>Rob</v>
      </c>
      <c r="J642" t="str">
        <f>INDEX(products!$A$1:$G$49,MATCH(orders!$D642, products!$A$1:$A$49,0), MATCH(orders!J$1,products!$A$1:$G$1,0))</f>
        <v>L</v>
      </c>
      <c r="K642" s="4">
        <f>INDEX(products!$A$1:$G$49,MATCH(orders!$D642, products!$A$1:$A$49,0), MATCH(orders!K$1,products!$A$1:$G$1,0))</f>
        <v>2.5</v>
      </c>
      <c r="L642" s="5">
        <f>INDEX(products!$A$1:$G$49,MATCH(orders!$D642, products!$A$1:$A$49,0), MATCH(orders!L$1,products!$A$1:$G$1,0))</f>
        <v>27.484999999999996</v>
      </c>
      <c r="M642" s="5">
        <f t="shared" si="27"/>
        <v>137.42499999999998</v>
      </c>
      <c r="N642" t="str">
        <f t="shared" si="28"/>
        <v>Robusta</v>
      </c>
      <c r="O642" t="str">
        <f t="shared" si="29"/>
        <v>Light</v>
      </c>
      <c r="P642" t="str">
        <f>_xlfn.XLOOKUP(Table1[[#This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IF(_xlfn.XLOOKUP(C643,customers!$A$1:$A$1001,customers!C642:C1642,,0)=0,"",_xlfn.XLOOKUP(C643,customers!$A$1:$A$1001,customers!C642:C1642,,0))</f>
        <v/>
      </c>
      <c r="H643" s="2" t="str">
        <f>_xlfn.XLOOKUP(orders!C643,customers!$A$1:$A$1001,customers!$G$1:$G$1001,,0)</f>
        <v>United States</v>
      </c>
      <c r="I643" t="str">
        <f>INDEX(products!$A$1:$G$49,MATCH(orders!$D643, products!$A$1:$A$49,0), MATCH(orders!I$1,products!$A$1:$G$1,0))</f>
        <v>Rob</v>
      </c>
      <c r="J643" t="str">
        <f>INDEX(products!$A$1:$G$49,MATCH(orders!$D643, products!$A$1:$A$49,0), MATCH(orders!J$1,products!$A$1:$G$1,0))</f>
        <v>L</v>
      </c>
      <c r="K643" s="4">
        <f>INDEX(products!$A$1:$G$49,MATCH(orders!$D643, products!$A$1:$A$49,0), MATCH(orders!K$1,products!$A$1:$G$1,0))</f>
        <v>1</v>
      </c>
      <c r="L643" s="5">
        <f>INDEX(products!$A$1:$G$49,MATCH(orders!$D643, products!$A$1:$A$49,0), MATCH(orders!L$1,products!$A$1:$G$1,0))</f>
        <v>11.95</v>
      </c>
      <c r="M643" s="5">
        <f t="shared" ref="M643:M706" si="30">L643*E643</f>
        <v>35.849999999999994</v>
      </c>
      <c r="N643" t="str">
        <f t="shared" ref="N643:N706" si="31">IF(I643="Rob","Robusta",IF(I643="Exc", "Excelsa", IF(I643="Ara","Arabica", IF(I643="lib","Liberica",""))))</f>
        <v>Robusta</v>
      </c>
      <c r="O643" t="str">
        <f t="shared" ref="O643:O706" si="32">IF(J643="M","Medium",IF(J643="L","Light",IF(J643="D","Dark", "")))</f>
        <v>Light</v>
      </c>
      <c r="P643" t="str">
        <f>_xlfn.XLOOKUP(Table1[[#This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IF(_xlfn.XLOOKUP(C644,customers!$A$1:$A$1001,customers!C643:C1643,,0)=0,"",_xlfn.XLOOKUP(C644,customers!$A$1:$A$1001,customers!C643:C1643,,0))</f>
        <v/>
      </c>
      <c r="H644" s="2" t="str">
        <f>_xlfn.XLOOKUP(orders!C644,customers!$A$1:$A$1001,customers!$G$1:$G$1001,,0)</f>
        <v>United Kingdom</v>
      </c>
      <c r="I644" t="str">
        <f>INDEX(products!$A$1:$G$49,MATCH(orders!$D644, products!$A$1:$A$49,0), MATCH(orders!I$1,products!$A$1:$G$1,0))</f>
        <v>Exc</v>
      </c>
      <c r="J644" t="str">
        <f>INDEX(products!$A$1:$G$49,MATCH(orders!$D644, products!$A$1:$A$49,0), MATCH(orders!J$1,products!$A$1:$G$1,0))</f>
        <v>M</v>
      </c>
      <c r="K644" s="4">
        <f>INDEX(products!$A$1:$G$49,MATCH(orders!$D644, products!$A$1:$A$49,0), MATCH(orders!K$1,products!$A$1:$G$1,0))</f>
        <v>0.2</v>
      </c>
      <c r="L644" s="5">
        <f>INDEX(products!$A$1:$G$49,MATCH(orders!$D644, products!$A$1:$A$49,0), MATCH(orders!L$1,products!$A$1:$G$1,0))</f>
        <v>4.125</v>
      </c>
      <c r="M644" s="5">
        <f t="shared" si="30"/>
        <v>8.25</v>
      </c>
      <c r="N644" t="str">
        <f t="shared" si="31"/>
        <v>Excelsa</v>
      </c>
      <c r="O644" t="str">
        <f t="shared" si="32"/>
        <v>Medium</v>
      </c>
      <c r="P644" t="str">
        <f>_xlfn.XLOOKUP(Table1[[#This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IF(_xlfn.XLOOKUP(C645,customers!$A$1:$A$1001,customers!C644:C1644,,0)=0,"",_xlfn.XLOOKUP(C645,customers!$A$1:$A$1001,customers!C644:C1644,,0))</f>
        <v/>
      </c>
      <c r="H645" s="2" t="str">
        <f>_xlfn.XLOOKUP(orders!C645,customers!$A$1:$A$1001,customers!$G$1:$G$1001,,0)</f>
        <v>United States</v>
      </c>
      <c r="I645" t="str">
        <f>INDEX(products!$A$1:$G$49,MATCH(orders!$D645, products!$A$1:$A$49,0), MATCH(orders!I$1,products!$A$1:$G$1,0))</f>
        <v>Exc</v>
      </c>
      <c r="J645" t="str">
        <f>INDEX(products!$A$1:$G$49,MATCH(orders!$D645, products!$A$1:$A$49,0), MATCH(orders!J$1,products!$A$1:$G$1,0))</f>
        <v>L</v>
      </c>
      <c r="K645" s="4">
        <f>INDEX(products!$A$1:$G$49,MATCH(orders!$D645, products!$A$1:$A$49,0), MATCH(orders!K$1,products!$A$1:$G$1,0))</f>
        <v>2.5</v>
      </c>
      <c r="L645" s="5">
        <f>INDEX(products!$A$1:$G$49,MATCH(orders!$D645, products!$A$1:$A$49,0), MATCH(orders!L$1,products!$A$1:$G$1,0))</f>
        <v>34.154999999999994</v>
      </c>
      <c r="M645" s="5">
        <f t="shared" si="30"/>
        <v>102.46499999999997</v>
      </c>
      <c r="N645" t="str">
        <f t="shared" si="31"/>
        <v>Excelsa</v>
      </c>
      <c r="O645" t="str">
        <f t="shared" si="32"/>
        <v>Light</v>
      </c>
      <c r="P645" t="str">
        <f>_xlfn.XLOOKUP(Table1[[#This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IF(_xlfn.XLOOKUP(C646,customers!$A$1:$A$1001,customers!C645:C1645,,0)=0,"",_xlfn.XLOOKUP(C646,customers!$A$1:$A$1001,customers!C645:C1645,,0))</f>
        <v/>
      </c>
      <c r="H646" s="2" t="str">
        <f>_xlfn.XLOOKUP(orders!C646,customers!$A$1:$A$1001,customers!$G$1:$G$1001,,0)</f>
        <v>United States</v>
      </c>
      <c r="I646" t="str">
        <f>INDEX(products!$A$1:$G$49,MATCH(orders!$D646, products!$A$1:$A$49,0), MATCH(orders!I$1,products!$A$1:$G$1,0))</f>
        <v>Rob</v>
      </c>
      <c r="J646" t="str">
        <f>INDEX(products!$A$1:$G$49,MATCH(orders!$D646, products!$A$1:$A$49,0), MATCH(orders!J$1,products!$A$1:$G$1,0))</f>
        <v>D</v>
      </c>
      <c r="K646" s="4">
        <f>INDEX(products!$A$1:$G$49,MATCH(orders!$D646, products!$A$1:$A$49,0), MATCH(orders!K$1,products!$A$1:$G$1,0))</f>
        <v>2.5</v>
      </c>
      <c r="L646" s="5">
        <f>INDEX(products!$A$1:$G$49,MATCH(orders!$D646, products!$A$1:$A$49,0), MATCH(orders!L$1,products!$A$1:$G$1,0))</f>
        <v>20.584999999999997</v>
      </c>
      <c r="M646" s="5">
        <f t="shared" si="30"/>
        <v>41.169999999999995</v>
      </c>
      <c r="N646" t="str">
        <f t="shared" si="31"/>
        <v>Robusta</v>
      </c>
      <c r="O646" t="str">
        <f t="shared" si="32"/>
        <v>Dark</v>
      </c>
      <c r="P646" t="str">
        <f>_xlfn.XLOOKUP(Table1[[#This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IF(_xlfn.XLOOKUP(C647,customers!$A$1:$A$1001,customers!C646:C1646,,0)=0,"",_xlfn.XLOOKUP(C647,customers!$A$1:$A$1001,customers!C646:C1646,,0))</f>
        <v/>
      </c>
      <c r="H647" s="2" t="str">
        <f>_xlfn.XLOOKUP(orders!C647,customers!$A$1:$A$1001,customers!$G$1:$G$1001,,0)</f>
        <v>United States</v>
      </c>
      <c r="I647" t="str">
        <f>INDEX(products!$A$1:$G$49,MATCH(orders!$D647, products!$A$1:$A$49,0), MATCH(orders!I$1,products!$A$1:$G$1,0))</f>
        <v>Ara</v>
      </c>
      <c r="J647" t="str">
        <f>INDEX(products!$A$1:$G$49,MATCH(orders!$D647, products!$A$1:$A$49,0), MATCH(orders!J$1,products!$A$1:$G$1,0))</f>
        <v>D</v>
      </c>
      <c r="K647" s="4">
        <f>INDEX(products!$A$1:$G$49,MATCH(orders!$D647, products!$A$1:$A$49,0), MATCH(orders!K$1,products!$A$1:$G$1,0))</f>
        <v>2.5</v>
      </c>
      <c r="L647" s="5">
        <f>INDEX(products!$A$1:$G$49,MATCH(orders!$D647, products!$A$1:$A$49,0), MATCH(orders!L$1,products!$A$1:$G$1,0))</f>
        <v>22.884999999999998</v>
      </c>
      <c r="M647" s="5">
        <f t="shared" si="30"/>
        <v>68.655000000000001</v>
      </c>
      <c r="N647" t="str">
        <f t="shared" si="31"/>
        <v>Arabica</v>
      </c>
      <c r="O647" t="str">
        <f t="shared" si="32"/>
        <v>Dark</v>
      </c>
      <c r="P647" t="str">
        <f>_xlfn.XLOOKUP(Table1[[#This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IF(_xlfn.XLOOKUP(C648,customers!$A$1:$A$1001,customers!C647:C1647,,0)=0,"",_xlfn.XLOOKUP(C648,customers!$A$1:$A$1001,customers!C647:C1647,,0))</f>
        <v/>
      </c>
      <c r="H648" s="2" t="str">
        <f>_xlfn.XLOOKUP(orders!C648,customers!$A$1:$A$1001,customers!$G$1:$G$1001,,0)</f>
        <v>United States</v>
      </c>
      <c r="I648" t="str">
        <f>INDEX(products!$A$1:$G$49,MATCH(orders!$D648, products!$A$1:$A$49,0), MATCH(orders!I$1,products!$A$1:$G$1,0))</f>
        <v>Ara</v>
      </c>
      <c r="J648" t="str">
        <f>INDEX(products!$A$1:$G$49,MATCH(orders!$D648, products!$A$1:$A$49,0), MATCH(orders!J$1,products!$A$1:$G$1,0))</f>
        <v>D</v>
      </c>
      <c r="K648" s="4">
        <f>INDEX(products!$A$1:$G$49,MATCH(orders!$D648, products!$A$1:$A$49,0), MATCH(orders!K$1,products!$A$1:$G$1,0))</f>
        <v>1</v>
      </c>
      <c r="L648" s="5">
        <f>INDEX(products!$A$1:$G$49,MATCH(orders!$D648, products!$A$1:$A$49,0), MATCH(orders!L$1,products!$A$1:$G$1,0))</f>
        <v>9.9499999999999993</v>
      </c>
      <c r="M648" s="5">
        <f t="shared" si="30"/>
        <v>9.9499999999999993</v>
      </c>
      <c r="N648" t="str">
        <f t="shared" si="31"/>
        <v>Arabica</v>
      </c>
      <c r="O648" t="str">
        <f t="shared" si="32"/>
        <v>Dark</v>
      </c>
      <c r="P648" t="str">
        <f>_xlfn.XLOOKUP(Table1[[#This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IF(_xlfn.XLOOKUP(C649,customers!$A$1:$A$1001,customers!C648:C1648,,0)=0,"",_xlfn.XLOOKUP(C649,customers!$A$1:$A$1001,customers!C648:C1648,,0))</f>
        <v/>
      </c>
      <c r="H649" s="2" t="str">
        <f>_xlfn.XLOOKUP(orders!C649,customers!$A$1:$A$1001,customers!$G$1:$G$1001,,0)</f>
        <v>United Kingdom</v>
      </c>
      <c r="I649" t="str">
        <f>INDEX(products!$A$1:$G$49,MATCH(orders!$D649, products!$A$1:$A$49,0), MATCH(orders!I$1,products!$A$1:$G$1,0))</f>
        <v>Lib</v>
      </c>
      <c r="J649" t="str">
        <f>INDEX(products!$A$1:$G$49,MATCH(orders!$D649, products!$A$1:$A$49,0), MATCH(orders!J$1,products!$A$1:$G$1,0))</f>
        <v>L</v>
      </c>
      <c r="K649" s="4">
        <f>INDEX(products!$A$1:$G$49,MATCH(orders!$D649, products!$A$1:$A$49,0), MATCH(orders!K$1,products!$A$1:$G$1,0))</f>
        <v>0.5</v>
      </c>
      <c r="L649" s="5">
        <f>INDEX(products!$A$1:$G$49,MATCH(orders!$D649, products!$A$1:$A$49,0), MATCH(orders!L$1,products!$A$1:$G$1,0))</f>
        <v>9.51</v>
      </c>
      <c r="M649" s="5">
        <f t="shared" si="30"/>
        <v>28.53</v>
      </c>
      <c r="N649" t="str">
        <f t="shared" si="31"/>
        <v>Liberica</v>
      </c>
      <c r="O649" t="str">
        <f t="shared" si="32"/>
        <v>Light</v>
      </c>
      <c r="P649" t="str">
        <f>_xlfn.XLOOKUP(Table1[[#This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IF(_xlfn.XLOOKUP(C650,customers!$A$1:$A$1001,customers!C649:C1649,,0)=0,"",_xlfn.XLOOKUP(C650,customers!$A$1:$A$1001,customers!C649:C1649,,0))</f>
        <v/>
      </c>
      <c r="H650" s="2" t="str">
        <f>_xlfn.XLOOKUP(orders!C650,customers!$A$1:$A$1001,customers!$G$1:$G$1001,,0)</f>
        <v>United States</v>
      </c>
      <c r="I650" t="str">
        <f>INDEX(products!$A$1:$G$49,MATCH(orders!$D650, products!$A$1:$A$49,0), MATCH(orders!I$1,products!$A$1:$G$1,0))</f>
        <v>Rob</v>
      </c>
      <c r="J650" t="str">
        <f>INDEX(products!$A$1:$G$49,MATCH(orders!$D650, products!$A$1:$A$49,0), MATCH(orders!J$1,products!$A$1:$G$1,0))</f>
        <v>D</v>
      </c>
      <c r="K650" s="4">
        <f>INDEX(products!$A$1:$G$49,MATCH(orders!$D650, products!$A$1:$A$49,0), MATCH(orders!K$1,products!$A$1:$G$1,0))</f>
        <v>0.2</v>
      </c>
      <c r="L650" s="5">
        <f>INDEX(products!$A$1:$G$49,MATCH(orders!$D650, products!$A$1:$A$49,0), MATCH(orders!L$1,products!$A$1:$G$1,0))</f>
        <v>2.6849999999999996</v>
      </c>
      <c r="M650" s="5">
        <f t="shared" si="30"/>
        <v>16.11</v>
      </c>
      <c r="N650" t="str">
        <f t="shared" si="31"/>
        <v>Robusta</v>
      </c>
      <c r="O650" t="str">
        <f t="shared" si="32"/>
        <v>Dark</v>
      </c>
      <c r="P650" t="str">
        <f>_xlfn.XLOOKUP(Table1[[#This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IF(_xlfn.XLOOKUP(C651,customers!$A$1:$A$1001,customers!C650:C1650,,0)=0,"",_xlfn.XLOOKUP(C651,customers!$A$1:$A$1001,customers!C650:C1650,,0))</f>
        <v/>
      </c>
      <c r="H651" s="2" t="str">
        <f>_xlfn.XLOOKUP(orders!C651,customers!$A$1:$A$1001,customers!$G$1:$G$1001,,0)</f>
        <v>United Kingdom</v>
      </c>
      <c r="I651" t="str">
        <f>INDEX(products!$A$1:$G$49,MATCH(orders!$D651, products!$A$1:$A$49,0), MATCH(orders!I$1,products!$A$1:$G$1,0))</f>
        <v>Lib</v>
      </c>
      <c r="J651" t="str">
        <f>INDEX(products!$A$1:$G$49,MATCH(orders!$D651, products!$A$1:$A$49,0), MATCH(orders!J$1,products!$A$1:$G$1,0))</f>
        <v>L</v>
      </c>
      <c r="K651" s="4">
        <f>INDEX(products!$A$1:$G$49,MATCH(orders!$D651, products!$A$1:$A$49,0), MATCH(orders!K$1,products!$A$1:$G$1,0))</f>
        <v>1</v>
      </c>
      <c r="L651" s="5">
        <f>INDEX(products!$A$1:$G$49,MATCH(orders!$D651, products!$A$1:$A$49,0), MATCH(orders!L$1,products!$A$1:$G$1,0))</f>
        <v>15.85</v>
      </c>
      <c r="M651" s="5">
        <f t="shared" si="30"/>
        <v>95.1</v>
      </c>
      <c r="N651" t="str">
        <f t="shared" si="31"/>
        <v>Liberica</v>
      </c>
      <c r="O651" t="str">
        <f t="shared" si="32"/>
        <v>Light</v>
      </c>
      <c r="P651" t="str">
        <f>_xlfn.XLOOKUP(Table1[[#This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IF(_xlfn.XLOOKUP(C652,customers!$A$1:$A$1001,customers!C651:C1651,,0)=0,"",_xlfn.XLOOKUP(C652,customers!$A$1:$A$1001,customers!C651:C1651,,0))</f>
        <v/>
      </c>
      <c r="H652" s="2" t="str">
        <f>_xlfn.XLOOKUP(orders!C652,customers!$A$1:$A$1001,customers!$G$1:$G$1001,,0)</f>
        <v>United States</v>
      </c>
      <c r="I652" t="str">
        <f>INDEX(products!$A$1:$G$49,MATCH(orders!$D652, products!$A$1:$A$49,0), MATCH(orders!I$1,products!$A$1:$G$1,0))</f>
        <v>Rob</v>
      </c>
      <c r="J652" t="str">
        <f>INDEX(products!$A$1:$G$49,MATCH(orders!$D652, products!$A$1:$A$49,0), MATCH(orders!J$1,products!$A$1:$G$1,0))</f>
        <v>D</v>
      </c>
      <c r="K652" s="4">
        <f>INDEX(products!$A$1:$G$49,MATCH(orders!$D652, products!$A$1:$A$49,0), MATCH(orders!K$1,products!$A$1:$G$1,0))</f>
        <v>0.5</v>
      </c>
      <c r="L652" s="5">
        <f>INDEX(products!$A$1:$G$49,MATCH(orders!$D652, products!$A$1:$A$49,0), MATCH(orders!L$1,products!$A$1:$G$1,0))</f>
        <v>5.3699999999999992</v>
      </c>
      <c r="M652" s="5">
        <f t="shared" si="30"/>
        <v>5.3699999999999992</v>
      </c>
      <c r="N652" t="str">
        <f t="shared" si="31"/>
        <v>Robusta</v>
      </c>
      <c r="O652" t="str">
        <f t="shared" si="32"/>
        <v>Dark</v>
      </c>
      <c r="P652" t="str">
        <f>_xlfn.XLOOKUP(Table1[[#This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IF(_xlfn.XLOOKUP(C653,customers!$A$1:$A$1001,customers!C652:C1652,,0)=0,"",_xlfn.XLOOKUP(C653,customers!$A$1:$A$1001,customers!C652:C1652,,0))</f>
        <v/>
      </c>
      <c r="H653" s="2" t="str">
        <f>_xlfn.XLOOKUP(orders!C653,customers!$A$1:$A$1001,customers!$G$1:$G$1001,,0)</f>
        <v>United States</v>
      </c>
      <c r="I653" t="str">
        <f>INDEX(products!$A$1:$G$49,MATCH(orders!$D653, products!$A$1:$A$49,0), MATCH(orders!I$1,products!$A$1:$G$1,0))</f>
        <v>Rob</v>
      </c>
      <c r="J653" t="str">
        <f>INDEX(products!$A$1:$G$49,MATCH(orders!$D653, products!$A$1:$A$49,0), MATCH(orders!J$1,products!$A$1:$G$1,0))</f>
        <v>L</v>
      </c>
      <c r="K653" s="4">
        <f>INDEX(products!$A$1:$G$49,MATCH(orders!$D653, products!$A$1:$A$49,0), MATCH(orders!K$1,products!$A$1:$G$1,0))</f>
        <v>1</v>
      </c>
      <c r="L653" s="5">
        <f>INDEX(products!$A$1:$G$49,MATCH(orders!$D653, products!$A$1:$A$49,0), MATCH(orders!L$1,products!$A$1:$G$1,0))</f>
        <v>11.95</v>
      </c>
      <c r="M653" s="5">
        <f t="shared" si="30"/>
        <v>47.8</v>
      </c>
      <c r="N653" t="str">
        <f t="shared" si="31"/>
        <v>Robusta</v>
      </c>
      <c r="O653" t="str">
        <f t="shared" si="32"/>
        <v>Light</v>
      </c>
      <c r="P653" t="str">
        <f>_xlfn.XLOOKUP(Table1[[#This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IF(_xlfn.XLOOKUP(C654,customers!$A$1:$A$1001,customers!C653:C1653,,0)=0,"",_xlfn.XLOOKUP(C654,customers!$A$1:$A$1001,customers!C653:C1653,,0))</f>
        <v/>
      </c>
      <c r="H654" s="2" t="str">
        <f>_xlfn.XLOOKUP(orders!C654,customers!$A$1:$A$1001,customers!$G$1:$G$1001,,0)</f>
        <v>Ireland</v>
      </c>
      <c r="I654" t="str">
        <f>INDEX(products!$A$1:$G$49,MATCH(orders!$D654, products!$A$1:$A$49,0), MATCH(orders!I$1,products!$A$1:$G$1,0))</f>
        <v>Lib</v>
      </c>
      <c r="J654" t="str">
        <f>INDEX(products!$A$1:$G$49,MATCH(orders!$D654, products!$A$1:$A$49,0), MATCH(orders!J$1,products!$A$1:$G$1,0))</f>
        <v>L</v>
      </c>
      <c r="K654" s="4">
        <f>INDEX(products!$A$1:$G$49,MATCH(orders!$D654, products!$A$1:$A$49,0), MATCH(orders!K$1,products!$A$1:$G$1,0))</f>
        <v>1</v>
      </c>
      <c r="L654" s="5">
        <f>INDEX(products!$A$1:$G$49,MATCH(orders!$D654, products!$A$1:$A$49,0), MATCH(orders!L$1,products!$A$1:$G$1,0))</f>
        <v>15.85</v>
      </c>
      <c r="M654" s="5">
        <f t="shared" si="30"/>
        <v>63.4</v>
      </c>
      <c r="N654" t="str">
        <f t="shared" si="31"/>
        <v>Liberica</v>
      </c>
      <c r="O654" t="str">
        <f t="shared" si="32"/>
        <v>Light</v>
      </c>
      <c r="P654" t="str">
        <f>_xlfn.XLOOKUP(Table1[[#This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IF(_xlfn.XLOOKUP(C655,customers!$A$1:$A$1001,customers!C654:C1654,,0)=0,"",_xlfn.XLOOKUP(C655,customers!$A$1:$A$1001,customers!C654:C1654,,0))</f>
        <v/>
      </c>
      <c r="H655" s="2" t="str">
        <f>_xlfn.XLOOKUP(orders!C655,customers!$A$1:$A$1001,customers!$G$1:$G$1001,,0)</f>
        <v>United States</v>
      </c>
      <c r="I655" t="str">
        <f>INDEX(products!$A$1:$G$49,MATCH(orders!$D655, products!$A$1:$A$49,0), MATCH(orders!I$1,products!$A$1:$G$1,0))</f>
        <v>Ara</v>
      </c>
      <c r="J655" t="str">
        <f>INDEX(products!$A$1:$G$49,MATCH(orders!$D655, products!$A$1:$A$49,0), MATCH(orders!J$1,products!$A$1:$G$1,0))</f>
        <v>M</v>
      </c>
      <c r="K655" s="4">
        <f>INDEX(products!$A$1:$G$49,MATCH(orders!$D655, products!$A$1:$A$49,0), MATCH(orders!K$1,products!$A$1:$G$1,0))</f>
        <v>2.5</v>
      </c>
      <c r="L655" s="5">
        <f>INDEX(products!$A$1:$G$49,MATCH(orders!$D655, products!$A$1:$A$49,0), MATCH(orders!L$1,products!$A$1:$G$1,0))</f>
        <v>25.874999999999996</v>
      </c>
      <c r="M655" s="5">
        <f t="shared" si="30"/>
        <v>103.49999999999999</v>
      </c>
      <c r="N655" t="str">
        <f t="shared" si="31"/>
        <v>Arabica</v>
      </c>
      <c r="O655" t="str">
        <f t="shared" si="32"/>
        <v>Medium</v>
      </c>
      <c r="P655" t="str">
        <f>_xlfn.XLOOKUP(Table1[[#This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IF(_xlfn.XLOOKUP(C656,customers!$A$1:$A$1001,customers!C655:C1655,,0)=0,"",_xlfn.XLOOKUP(C656,customers!$A$1:$A$1001,customers!C655:C1655,,0))</f>
        <v/>
      </c>
      <c r="H656" s="2" t="str">
        <f>_xlfn.XLOOKUP(orders!C656,customers!$A$1:$A$1001,customers!$G$1:$G$1001,,0)</f>
        <v>United States</v>
      </c>
      <c r="I656" t="str">
        <f>INDEX(products!$A$1:$G$49,MATCH(orders!$D656, products!$A$1:$A$49,0), MATCH(orders!I$1,products!$A$1:$G$1,0))</f>
        <v>Ara</v>
      </c>
      <c r="J656" t="str">
        <f>INDEX(products!$A$1:$G$49,MATCH(orders!$D656, products!$A$1:$A$49,0), MATCH(orders!J$1,products!$A$1:$G$1,0))</f>
        <v>D</v>
      </c>
      <c r="K656" s="4">
        <f>INDEX(products!$A$1:$G$49,MATCH(orders!$D656, products!$A$1:$A$49,0), MATCH(orders!K$1,products!$A$1:$G$1,0))</f>
        <v>2.5</v>
      </c>
      <c r="L656" s="5">
        <f>INDEX(products!$A$1:$G$49,MATCH(orders!$D656, products!$A$1:$A$49,0), MATCH(orders!L$1,products!$A$1:$G$1,0))</f>
        <v>22.884999999999998</v>
      </c>
      <c r="M656" s="5">
        <f t="shared" si="30"/>
        <v>68.655000000000001</v>
      </c>
      <c r="N656" t="str">
        <f t="shared" si="31"/>
        <v>Arabica</v>
      </c>
      <c r="O656" t="str">
        <f t="shared" si="32"/>
        <v>Dark</v>
      </c>
      <c r="P656" t="str">
        <f>_xlfn.XLOOKUP(Table1[[#This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IF(_xlfn.XLOOKUP(C657,customers!$A$1:$A$1001,customers!C656:C1656,,0)=0,"",_xlfn.XLOOKUP(C657,customers!$A$1:$A$1001,customers!C656:C1656,,0))</f>
        <v/>
      </c>
      <c r="H657" s="2" t="str">
        <f>_xlfn.XLOOKUP(orders!C657,customers!$A$1:$A$1001,customers!$G$1:$G$1001,,0)</f>
        <v>United States</v>
      </c>
      <c r="I657" t="str">
        <f>INDEX(products!$A$1:$G$49,MATCH(orders!$D657, products!$A$1:$A$49,0), MATCH(orders!I$1,products!$A$1:$G$1,0))</f>
        <v>Rob</v>
      </c>
      <c r="J657" t="str">
        <f>INDEX(products!$A$1:$G$49,MATCH(orders!$D657, products!$A$1:$A$49,0), MATCH(orders!J$1,products!$A$1:$G$1,0))</f>
        <v>M</v>
      </c>
      <c r="K657" s="4">
        <f>INDEX(products!$A$1:$G$49,MATCH(orders!$D657, products!$A$1:$A$49,0), MATCH(orders!K$1,products!$A$1:$G$1,0))</f>
        <v>2.5</v>
      </c>
      <c r="L657" s="5">
        <f>INDEX(products!$A$1:$G$49,MATCH(orders!$D657, products!$A$1:$A$49,0), MATCH(orders!L$1,products!$A$1:$G$1,0))</f>
        <v>22.884999999999998</v>
      </c>
      <c r="M657" s="5">
        <f t="shared" si="30"/>
        <v>45.769999999999996</v>
      </c>
      <c r="N657" t="str">
        <f t="shared" si="31"/>
        <v>Robusta</v>
      </c>
      <c r="O657" t="str">
        <f t="shared" si="32"/>
        <v>Medium</v>
      </c>
      <c r="P657" t="str">
        <f>_xlfn.XLOOKUP(Table1[[#This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IF(_xlfn.XLOOKUP(C658,customers!$A$1:$A$1001,customers!C657:C1657,,0)=0,"",_xlfn.XLOOKUP(C658,customers!$A$1:$A$1001,customers!C657:C1657,,0))</f>
        <v/>
      </c>
      <c r="H658" s="2" t="str">
        <f>_xlfn.XLOOKUP(orders!C658,customers!$A$1:$A$1001,customers!$G$1:$G$1001,,0)</f>
        <v>United States</v>
      </c>
      <c r="I658" t="str">
        <f>INDEX(products!$A$1:$G$49,MATCH(orders!$D658, products!$A$1:$A$49,0), MATCH(orders!I$1,products!$A$1:$G$1,0))</f>
        <v>Lib</v>
      </c>
      <c r="J658" t="str">
        <f>INDEX(products!$A$1:$G$49,MATCH(orders!$D658, products!$A$1:$A$49,0), MATCH(orders!J$1,products!$A$1:$G$1,0))</f>
        <v>D</v>
      </c>
      <c r="K658" s="4">
        <f>INDEX(products!$A$1:$G$49,MATCH(orders!$D658, products!$A$1:$A$49,0), MATCH(orders!K$1,products!$A$1:$G$1,0))</f>
        <v>1</v>
      </c>
      <c r="L658" s="5">
        <f>INDEX(products!$A$1:$G$49,MATCH(orders!$D658, products!$A$1:$A$49,0), MATCH(orders!L$1,products!$A$1:$G$1,0))</f>
        <v>12.95</v>
      </c>
      <c r="M658" s="5">
        <f t="shared" si="30"/>
        <v>51.8</v>
      </c>
      <c r="N658" t="str">
        <f t="shared" si="31"/>
        <v>Liberica</v>
      </c>
      <c r="O658" t="str">
        <f t="shared" si="32"/>
        <v>Dark</v>
      </c>
      <c r="P658" t="str">
        <f>_xlfn.XLOOKUP(Table1[[#This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IF(_xlfn.XLOOKUP(C659,customers!$A$1:$A$1001,customers!C658:C1658,,0)=0,"",_xlfn.XLOOKUP(C659,customers!$A$1:$A$1001,customers!C658:C1658,,0))</f>
        <v/>
      </c>
      <c r="H659" s="2" t="str">
        <f>_xlfn.XLOOKUP(orders!C659,customers!$A$1:$A$1001,customers!$G$1:$G$1001,,0)</f>
        <v>United States</v>
      </c>
      <c r="I659" t="str">
        <f>INDEX(products!$A$1:$G$49,MATCH(orders!$D659, products!$A$1:$A$49,0), MATCH(orders!I$1,products!$A$1:$G$1,0))</f>
        <v>Ara</v>
      </c>
      <c r="J659" t="str">
        <f>INDEX(products!$A$1:$G$49,MATCH(orders!$D659, products!$A$1:$A$49,0), MATCH(orders!J$1,products!$A$1:$G$1,0))</f>
        <v>M</v>
      </c>
      <c r="K659" s="4">
        <f>INDEX(products!$A$1:$G$49,MATCH(orders!$D659, products!$A$1:$A$49,0), MATCH(orders!K$1,products!$A$1:$G$1,0))</f>
        <v>0.5</v>
      </c>
      <c r="L659" s="5">
        <f>INDEX(products!$A$1:$G$49,MATCH(orders!$D659, products!$A$1:$A$49,0), MATCH(orders!L$1,products!$A$1:$G$1,0))</f>
        <v>6.75</v>
      </c>
      <c r="M659" s="5">
        <f t="shared" si="30"/>
        <v>13.5</v>
      </c>
      <c r="N659" t="str">
        <f t="shared" si="31"/>
        <v>Arabica</v>
      </c>
      <c r="O659" t="str">
        <f t="shared" si="32"/>
        <v>Medium</v>
      </c>
      <c r="P659" t="str">
        <f>_xlfn.XLOOKUP(Table1[[#This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IF(_xlfn.XLOOKUP(C660,customers!$A$1:$A$1001,customers!C659:C1659,,0)=0,"",_xlfn.XLOOKUP(C660,customers!$A$1:$A$1001,customers!C659:C1659,,0))</f>
        <v/>
      </c>
      <c r="H660" s="2" t="str">
        <f>_xlfn.XLOOKUP(orders!C660,customers!$A$1:$A$1001,customers!$G$1:$G$1001,,0)</f>
        <v>United States</v>
      </c>
      <c r="I660" t="str">
        <f>INDEX(products!$A$1:$G$49,MATCH(orders!$D660, products!$A$1:$A$49,0), MATCH(orders!I$1,products!$A$1:$G$1,0))</f>
        <v>Exc</v>
      </c>
      <c r="J660" t="str">
        <f>INDEX(products!$A$1:$G$49,MATCH(orders!$D660, products!$A$1:$A$49,0), MATCH(orders!J$1,products!$A$1:$G$1,0))</f>
        <v>M</v>
      </c>
      <c r="K660" s="4">
        <f>INDEX(products!$A$1:$G$49,MATCH(orders!$D660, products!$A$1:$A$49,0), MATCH(orders!K$1,products!$A$1:$G$1,0))</f>
        <v>0.5</v>
      </c>
      <c r="L660" s="5">
        <f>INDEX(products!$A$1:$G$49,MATCH(orders!$D660, products!$A$1:$A$49,0), MATCH(orders!L$1,products!$A$1:$G$1,0))</f>
        <v>8.25</v>
      </c>
      <c r="M660" s="5">
        <f t="shared" si="30"/>
        <v>24.75</v>
      </c>
      <c r="N660" t="str">
        <f t="shared" si="31"/>
        <v>Excelsa</v>
      </c>
      <c r="O660" t="str">
        <f t="shared" si="32"/>
        <v>Medium</v>
      </c>
      <c r="P660" t="str">
        <f>_xlfn.XLOOKUP(Table1[[#This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IF(_xlfn.XLOOKUP(C661,customers!$A$1:$A$1001,customers!C660:C1660,,0)=0,"",_xlfn.XLOOKUP(C661,customers!$A$1:$A$1001,customers!C660:C1660,,0))</f>
        <v/>
      </c>
      <c r="H661" s="2" t="str">
        <f>_xlfn.XLOOKUP(orders!C661,customers!$A$1:$A$1001,customers!$G$1:$G$1001,,0)</f>
        <v>Ireland</v>
      </c>
      <c r="I661" t="str">
        <f>INDEX(products!$A$1:$G$49,MATCH(orders!$D661, products!$A$1:$A$49,0), MATCH(orders!I$1,products!$A$1:$G$1,0))</f>
        <v>Ara</v>
      </c>
      <c r="J661" t="str">
        <f>INDEX(products!$A$1:$G$49,MATCH(orders!$D661, products!$A$1:$A$49,0), MATCH(orders!J$1,products!$A$1:$G$1,0))</f>
        <v>D</v>
      </c>
      <c r="K661" s="4">
        <f>INDEX(products!$A$1:$G$49,MATCH(orders!$D661, products!$A$1:$A$49,0), MATCH(orders!K$1,products!$A$1:$G$1,0))</f>
        <v>2.5</v>
      </c>
      <c r="L661" s="5">
        <f>INDEX(products!$A$1:$G$49,MATCH(orders!$D661, products!$A$1:$A$49,0), MATCH(orders!L$1,products!$A$1:$G$1,0))</f>
        <v>22.884999999999998</v>
      </c>
      <c r="M661" s="5">
        <f t="shared" si="30"/>
        <v>45.769999999999996</v>
      </c>
      <c r="N661" t="str">
        <f t="shared" si="31"/>
        <v>Arabica</v>
      </c>
      <c r="O661" t="str">
        <f t="shared" si="32"/>
        <v>Dark</v>
      </c>
      <c r="P661" t="str">
        <f>_xlfn.XLOOKUP(Table1[[#This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IF(_xlfn.XLOOKUP(C662,customers!$A$1:$A$1001,customers!C661:C1661,,0)=0,"",_xlfn.XLOOKUP(C662,customers!$A$1:$A$1001,customers!C661:C1661,,0))</f>
        <v/>
      </c>
      <c r="H662" s="2" t="str">
        <f>_xlfn.XLOOKUP(orders!C662,customers!$A$1:$A$1001,customers!$G$1:$G$1001,,0)</f>
        <v>United States</v>
      </c>
      <c r="I662" t="str">
        <f>INDEX(products!$A$1:$G$49,MATCH(orders!$D662, products!$A$1:$A$49,0), MATCH(orders!I$1,products!$A$1:$G$1,0))</f>
        <v>Exc</v>
      </c>
      <c r="J662" t="str">
        <f>INDEX(products!$A$1:$G$49,MATCH(orders!$D662, products!$A$1:$A$49,0), MATCH(orders!J$1,products!$A$1:$G$1,0))</f>
        <v>L</v>
      </c>
      <c r="K662" s="4">
        <f>INDEX(products!$A$1:$G$49,MATCH(orders!$D662, products!$A$1:$A$49,0), MATCH(orders!K$1,products!$A$1:$G$1,0))</f>
        <v>0.5</v>
      </c>
      <c r="L662" s="5">
        <f>INDEX(products!$A$1:$G$49,MATCH(orders!$D662, products!$A$1:$A$49,0), MATCH(orders!L$1,products!$A$1:$G$1,0))</f>
        <v>8.91</v>
      </c>
      <c r="M662" s="5">
        <f t="shared" si="30"/>
        <v>53.46</v>
      </c>
      <c r="N662" t="str">
        <f t="shared" si="31"/>
        <v>Excelsa</v>
      </c>
      <c r="O662" t="str">
        <f t="shared" si="32"/>
        <v>Light</v>
      </c>
      <c r="P662" t="str">
        <f>_xlfn.XLOOKUP(Table1[[#This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IF(_xlfn.XLOOKUP(C663,customers!$A$1:$A$1001,customers!C662:C1662,,0)=0,"",_xlfn.XLOOKUP(C663,customers!$A$1:$A$1001,customers!C662:C1662,,0))</f>
        <v/>
      </c>
      <c r="H663" s="2" t="str">
        <f>_xlfn.XLOOKUP(orders!C663,customers!$A$1:$A$1001,customers!$G$1:$G$1001,,0)</f>
        <v>United States</v>
      </c>
      <c r="I663" t="str">
        <f>INDEX(products!$A$1:$G$49,MATCH(orders!$D663, products!$A$1:$A$49,0), MATCH(orders!I$1,products!$A$1:$G$1,0))</f>
        <v>Ara</v>
      </c>
      <c r="J663" t="str">
        <f>INDEX(products!$A$1:$G$49,MATCH(orders!$D663, products!$A$1:$A$49,0), MATCH(orders!J$1,products!$A$1:$G$1,0))</f>
        <v>M</v>
      </c>
      <c r="K663" s="4">
        <f>INDEX(products!$A$1:$G$49,MATCH(orders!$D663, products!$A$1:$A$49,0), MATCH(orders!K$1,products!$A$1:$G$1,0))</f>
        <v>0.2</v>
      </c>
      <c r="L663" s="5">
        <f>INDEX(products!$A$1:$G$49,MATCH(orders!$D663, products!$A$1:$A$49,0), MATCH(orders!L$1,products!$A$1:$G$1,0))</f>
        <v>3.375</v>
      </c>
      <c r="M663" s="5">
        <f t="shared" si="30"/>
        <v>20.25</v>
      </c>
      <c r="N663" t="str">
        <f t="shared" si="31"/>
        <v>Arabica</v>
      </c>
      <c r="O663" t="str">
        <f t="shared" si="32"/>
        <v>Medium</v>
      </c>
      <c r="P663" t="str">
        <f>_xlfn.XLOOKUP(Table1[[#This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IF(_xlfn.XLOOKUP(C664,customers!$A$1:$A$1001,customers!C663:C1663,,0)=0,"",_xlfn.XLOOKUP(C664,customers!$A$1:$A$1001,customers!C663:C1663,,0))</f>
        <v/>
      </c>
      <c r="H664" s="2" t="str">
        <f>_xlfn.XLOOKUP(orders!C664,customers!$A$1:$A$1001,customers!$G$1:$G$1001,,0)</f>
        <v>United States</v>
      </c>
      <c r="I664" t="str">
        <f>INDEX(products!$A$1:$G$49,MATCH(orders!$D664, products!$A$1:$A$49,0), MATCH(orders!I$1,products!$A$1:$G$1,0))</f>
        <v>Lib</v>
      </c>
      <c r="J664" t="str">
        <f>INDEX(products!$A$1:$G$49,MATCH(orders!$D664, products!$A$1:$A$49,0), MATCH(orders!J$1,products!$A$1:$G$1,0))</f>
        <v>D</v>
      </c>
      <c r="K664" s="4">
        <f>INDEX(products!$A$1:$G$49,MATCH(orders!$D664, products!$A$1:$A$49,0), MATCH(orders!K$1,products!$A$1:$G$1,0))</f>
        <v>2.5</v>
      </c>
      <c r="L664" s="5">
        <f>INDEX(products!$A$1:$G$49,MATCH(orders!$D664, products!$A$1:$A$49,0), MATCH(orders!L$1,products!$A$1:$G$1,0))</f>
        <v>29.784999999999997</v>
      </c>
      <c r="M664" s="5">
        <f t="shared" si="30"/>
        <v>148.92499999999998</v>
      </c>
      <c r="N664" t="str">
        <f t="shared" si="31"/>
        <v>Liberica</v>
      </c>
      <c r="O664" t="str">
        <f t="shared" si="32"/>
        <v>Dark</v>
      </c>
      <c r="P664" t="str">
        <f>_xlfn.XLOOKUP(Table1[[#This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IF(_xlfn.XLOOKUP(C665,customers!$A$1:$A$1001,customers!C664:C1664,,0)=0,"",_xlfn.XLOOKUP(C665,customers!$A$1:$A$1001,customers!C664:C1664,,0))</f>
        <v/>
      </c>
      <c r="H665" s="2" t="str">
        <f>_xlfn.XLOOKUP(orders!C665,customers!$A$1:$A$1001,customers!$G$1:$G$1001,,0)</f>
        <v>United States</v>
      </c>
      <c r="I665" t="str">
        <f>INDEX(products!$A$1:$G$49,MATCH(orders!$D665, products!$A$1:$A$49,0), MATCH(orders!I$1,products!$A$1:$G$1,0))</f>
        <v>Ara</v>
      </c>
      <c r="J665" t="str">
        <f>INDEX(products!$A$1:$G$49,MATCH(orders!$D665, products!$A$1:$A$49,0), MATCH(orders!J$1,products!$A$1:$G$1,0))</f>
        <v>M</v>
      </c>
      <c r="K665" s="4">
        <f>INDEX(products!$A$1:$G$49,MATCH(orders!$D665, products!$A$1:$A$49,0), MATCH(orders!K$1,products!$A$1:$G$1,0))</f>
        <v>1</v>
      </c>
      <c r="L665" s="5">
        <f>INDEX(products!$A$1:$G$49,MATCH(orders!$D665, products!$A$1:$A$49,0), MATCH(orders!L$1,products!$A$1:$G$1,0))</f>
        <v>11.25</v>
      </c>
      <c r="M665" s="5">
        <f t="shared" si="30"/>
        <v>67.5</v>
      </c>
      <c r="N665" t="str">
        <f t="shared" si="31"/>
        <v>Arabica</v>
      </c>
      <c r="O665" t="str">
        <f t="shared" si="32"/>
        <v>Medium</v>
      </c>
      <c r="P665" t="str">
        <f>_xlfn.XLOOKUP(Table1[[#This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IF(_xlfn.XLOOKUP(C666,customers!$A$1:$A$1001,customers!C665:C1665,,0)=0,"",_xlfn.XLOOKUP(C666,customers!$A$1:$A$1001,customers!C665:C1665,,0))</f>
        <v/>
      </c>
      <c r="H666" s="2" t="str">
        <f>_xlfn.XLOOKUP(orders!C666,customers!$A$1:$A$1001,customers!$G$1:$G$1001,,0)</f>
        <v>United States</v>
      </c>
      <c r="I666" t="str">
        <f>INDEX(products!$A$1:$G$49,MATCH(orders!$D666, products!$A$1:$A$49,0), MATCH(orders!I$1,products!$A$1:$G$1,0))</f>
        <v>Exc</v>
      </c>
      <c r="J666" t="str">
        <f>INDEX(products!$A$1:$G$49,MATCH(orders!$D666, products!$A$1:$A$49,0), MATCH(orders!J$1,products!$A$1:$G$1,0))</f>
        <v>D</v>
      </c>
      <c r="K666" s="4">
        <f>INDEX(products!$A$1:$G$49,MATCH(orders!$D666, products!$A$1:$A$49,0), MATCH(orders!K$1,products!$A$1:$G$1,0))</f>
        <v>1</v>
      </c>
      <c r="L666" s="5">
        <f>INDEX(products!$A$1:$G$49,MATCH(orders!$D666, products!$A$1:$A$49,0), MATCH(orders!L$1,products!$A$1:$G$1,0))</f>
        <v>12.15</v>
      </c>
      <c r="M666" s="5">
        <f t="shared" si="30"/>
        <v>72.900000000000006</v>
      </c>
      <c r="N666" t="str">
        <f t="shared" si="31"/>
        <v>Excelsa</v>
      </c>
      <c r="O666" t="str">
        <f t="shared" si="32"/>
        <v>Dark</v>
      </c>
      <c r="P666" t="str">
        <f>_xlfn.XLOOKUP(Table1[[#This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IF(_xlfn.XLOOKUP(C667,customers!$A$1:$A$1001,customers!C666:C1666,,0)=0,"",_xlfn.XLOOKUP(C667,customers!$A$1:$A$1001,customers!C666:C1666,,0))</f>
        <v/>
      </c>
      <c r="H667" s="2" t="str">
        <f>_xlfn.XLOOKUP(orders!C667,customers!$A$1:$A$1001,customers!$G$1:$G$1001,,0)</f>
        <v>United States</v>
      </c>
      <c r="I667" t="str">
        <f>INDEX(products!$A$1:$G$49,MATCH(orders!$D667, products!$A$1:$A$49,0), MATCH(orders!I$1,products!$A$1:$G$1,0))</f>
        <v>Lib</v>
      </c>
      <c r="J667" t="str">
        <f>INDEX(products!$A$1:$G$49,MATCH(orders!$D667, products!$A$1:$A$49,0), MATCH(orders!J$1,products!$A$1:$G$1,0))</f>
        <v>D</v>
      </c>
      <c r="K667" s="4">
        <f>INDEX(products!$A$1:$G$49,MATCH(orders!$D667, products!$A$1:$A$49,0), MATCH(orders!K$1,products!$A$1:$G$1,0))</f>
        <v>0.2</v>
      </c>
      <c r="L667" s="5">
        <f>INDEX(products!$A$1:$G$49,MATCH(orders!$D667, products!$A$1:$A$49,0), MATCH(orders!L$1,products!$A$1:$G$1,0))</f>
        <v>3.8849999999999998</v>
      </c>
      <c r="M667" s="5">
        <f t="shared" si="30"/>
        <v>7.77</v>
      </c>
      <c r="N667" t="str">
        <f t="shared" si="31"/>
        <v>Liberica</v>
      </c>
      <c r="O667" t="str">
        <f t="shared" si="32"/>
        <v>Dark</v>
      </c>
      <c r="P667" t="str">
        <f>_xlfn.XLOOKUP(Table1[[#This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IF(_xlfn.XLOOKUP(C668,customers!$A$1:$A$1001,customers!C667:C1667,,0)=0,"",_xlfn.XLOOKUP(C668,customers!$A$1:$A$1001,customers!C667:C1667,,0))</f>
        <v/>
      </c>
      <c r="H668" s="2" t="str">
        <f>_xlfn.XLOOKUP(orders!C668,customers!$A$1:$A$1001,customers!$G$1:$G$1001,,0)</f>
        <v>United States</v>
      </c>
      <c r="I668" t="str">
        <f>INDEX(products!$A$1:$G$49,MATCH(orders!$D668, products!$A$1:$A$49,0), MATCH(orders!I$1,products!$A$1:$G$1,0))</f>
        <v>Ara</v>
      </c>
      <c r="J668" t="str">
        <f>INDEX(products!$A$1:$G$49,MATCH(orders!$D668, products!$A$1:$A$49,0), MATCH(orders!J$1,products!$A$1:$G$1,0))</f>
        <v>D</v>
      </c>
      <c r="K668" s="4">
        <f>INDEX(products!$A$1:$G$49,MATCH(orders!$D668, products!$A$1:$A$49,0), MATCH(orders!K$1,products!$A$1:$G$1,0))</f>
        <v>2.5</v>
      </c>
      <c r="L668" s="5">
        <f>INDEX(products!$A$1:$G$49,MATCH(orders!$D668, products!$A$1:$A$49,0), MATCH(orders!L$1,products!$A$1:$G$1,0))</f>
        <v>22.884999999999998</v>
      </c>
      <c r="M668" s="5">
        <f t="shared" si="30"/>
        <v>91.539999999999992</v>
      </c>
      <c r="N668" t="str">
        <f t="shared" si="31"/>
        <v>Arabica</v>
      </c>
      <c r="O668" t="str">
        <f t="shared" si="32"/>
        <v>Dark</v>
      </c>
      <c r="P668" t="str">
        <f>_xlfn.XLOOKUP(Table1[[#This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IF(_xlfn.XLOOKUP(C669,customers!$A$1:$A$1001,customers!C668:C1668,,0)=0,"",_xlfn.XLOOKUP(C669,customers!$A$1:$A$1001,customers!C668:C1668,,0))</f>
        <v/>
      </c>
      <c r="H669" s="2" t="str">
        <f>_xlfn.XLOOKUP(orders!C669,customers!$A$1:$A$1001,customers!$G$1:$G$1001,,0)</f>
        <v>Ireland</v>
      </c>
      <c r="I669" t="str">
        <f>INDEX(products!$A$1:$G$49,MATCH(orders!$D669, products!$A$1:$A$49,0), MATCH(orders!I$1,products!$A$1:$G$1,0))</f>
        <v>Ara</v>
      </c>
      <c r="J669" t="str">
        <f>INDEX(products!$A$1:$G$49,MATCH(orders!$D669, products!$A$1:$A$49,0), MATCH(orders!J$1,products!$A$1:$G$1,0))</f>
        <v>D</v>
      </c>
      <c r="K669" s="4">
        <f>INDEX(products!$A$1:$G$49,MATCH(orders!$D669, products!$A$1:$A$49,0), MATCH(orders!K$1,products!$A$1:$G$1,0))</f>
        <v>1</v>
      </c>
      <c r="L669" s="5">
        <f>INDEX(products!$A$1:$G$49,MATCH(orders!$D669, products!$A$1:$A$49,0), MATCH(orders!L$1,products!$A$1:$G$1,0))</f>
        <v>9.9499999999999993</v>
      </c>
      <c r="M669" s="5">
        <f t="shared" si="30"/>
        <v>59.699999999999996</v>
      </c>
      <c r="N669" t="str">
        <f t="shared" si="31"/>
        <v>Arabica</v>
      </c>
      <c r="O669" t="str">
        <f t="shared" si="32"/>
        <v>Dark</v>
      </c>
      <c r="P669" t="str">
        <f>_xlfn.XLOOKUP(Table1[[#This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IF(_xlfn.XLOOKUP(C670,customers!$A$1:$A$1001,customers!C669:C1669,,0)=0,"",_xlfn.XLOOKUP(C670,customers!$A$1:$A$1001,customers!C669:C1669,,0))</f>
        <v/>
      </c>
      <c r="H670" s="2" t="str">
        <f>_xlfn.XLOOKUP(orders!C670,customers!$A$1:$A$1001,customers!$G$1:$G$1001,,0)</f>
        <v>United States</v>
      </c>
      <c r="I670" t="str">
        <f>INDEX(products!$A$1:$G$49,MATCH(orders!$D670, products!$A$1:$A$49,0), MATCH(orders!I$1,products!$A$1:$G$1,0))</f>
        <v>Rob</v>
      </c>
      <c r="J670" t="str">
        <f>INDEX(products!$A$1:$G$49,MATCH(orders!$D670, products!$A$1:$A$49,0), MATCH(orders!J$1,products!$A$1:$G$1,0))</f>
        <v>L</v>
      </c>
      <c r="K670" s="4">
        <f>INDEX(products!$A$1:$G$49,MATCH(orders!$D670, products!$A$1:$A$49,0), MATCH(orders!K$1,products!$A$1:$G$1,0))</f>
        <v>2.5</v>
      </c>
      <c r="L670" s="5">
        <f>INDEX(products!$A$1:$G$49,MATCH(orders!$D670, products!$A$1:$A$49,0), MATCH(orders!L$1,products!$A$1:$G$1,0))</f>
        <v>27.484999999999996</v>
      </c>
      <c r="M670" s="5">
        <f t="shared" si="30"/>
        <v>137.42499999999998</v>
      </c>
      <c r="N670" t="str">
        <f t="shared" si="31"/>
        <v>Robusta</v>
      </c>
      <c r="O670" t="str">
        <f t="shared" si="32"/>
        <v>Light</v>
      </c>
      <c r="P670" t="str">
        <f>_xlfn.XLOOKUP(Table1[[#This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IF(_xlfn.XLOOKUP(C671,customers!$A$1:$A$1001,customers!C670:C1670,,0)=0,"",_xlfn.XLOOKUP(C671,customers!$A$1:$A$1001,customers!C670:C1670,,0))</f>
        <v/>
      </c>
      <c r="H671" s="2" t="str">
        <f>_xlfn.XLOOKUP(orders!C671,customers!$A$1:$A$1001,customers!$G$1:$G$1001,,0)</f>
        <v>United States</v>
      </c>
      <c r="I671" t="str">
        <f>INDEX(products!$A$1:$G$49,MATCH(orders!$D671, products!$A$1:$A$49,0), MATCH(orders!I$1,products!$A$1:$G$1,0))</f>
        <v>Lib</v>
      </c>
      <c r="J671" t="str">
        <f>INDEX(products!$A$1:$G$49,MATCH(orders!$D671, products!$A$1:$A$49,0), MATCH(orders!J$1,products!$A$1:$G$1,0))</f>
        <v>M</v>
      </c>
      <c r="K671" s="4">
        <f>INDEX(products!$A$1:$G$49,MATCH(orders!$D671, products!$A$1:$A$49,0), MATCH(orders!K$1,products!$A$1:$G$1,0))</f>
        <v>2.5</v>
      </c>
      <c r="L671" s="5">
        <f>INDEX(products!$A$1:$G$49,MATCH(orders!$D671, products!$A$1:$A$49,0), MATCH(orders!L$1,products!$A$1:$G$1,0))</f>
        <v>33.464999999999996</v>
      </c>
      <c r="M671" s="5">
        <f t="shared" si="30"/>
        <v>66.929999999999993</v>
      </c>
      <c r="N671" t="str">
        <f t="shared" si="31"/>
        <v>Liberica</v>
      </c>
      <c r="O671" t="str">
        <f t="shared" si="32"/>
        <v>Medium</v>
      </c>
      <c r="P671" t="str">
        <f>_xlfn.XLOOKUP(Table1[[#This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IF(_xlfn.XLOOKUP(C672,customers!$A$1:$A$1001,customers!C671:C1671,,0)=0,"",_xlfn.XLOOKUP(C672,customers!$A$1:$A$1001,customers!C671:C1671,,0))</f>
        <v/>
      </c>
      <c r="H672" s="2" t="str">
        <f>_xlfn.XLOOKUP(orders!C672,customers!$A$1:$A$1001,customers!$G$1:$G$1001,,0)</f>
        <v>United States</v>
      </c>
      <c r="I672" t="str">
        <f>INDEX(products!$A$1:$G$49,MATCH(orders!$D672, products!$A$1:$A$49,0), MATCH(orders!I$1,products!$A$1:$G$1,0))</f>
        <v>Lib</v>
      </c>
      <c r="J672" t="str">
        <f>INDEX(products!$A$1:$G$49,MATCH(orders!$D672, products!$A$1:$A$49,0), MATCH(orders!J$1,products!$A$1:$G$1,0))</f>
        <v>M</v>
      </c>
      <c r="K672" s="4">
        <f>INDEX(products!$A$1:$G$49,MATCH(orders!$D672, products!$A$1:$A$49,0), MATCH(orders!K$1,products!$A$1:$G$1,0))</f>
        <v>0.2</v>
      </c>
      <c r="L672" s="5">
        <f>INDEX(products!$A$1:$G$49,MATCH(orders!$D672, products!$A$1:$A$49,0), MATCH(orders!L$1,products!$A$1:$G$1,0))</f>
        <v>4.3650000000000002</v>
      </c>
      <c r="M672" s="5">
        <f t="shared" si="30"/>
        <v>13.095000000000001</v>
      </c>
      <c r="N672" t="str">
        <f t="shared" si="31"/>
        <v>Liberica</v>
      </c>
      <c r="O672" t="str">
        <f t="shared" si="32"/>
        <v>Medium</v>
      </c>
      <c r="P672" t="str">
        <f>_xlfn.XLOOKUP(Table1[[#This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IF(_xlfn.XLOOKUP(C673,customers!$A$1:$A$1001,customers!C672:C1672,,0)=0,"",_xlfn.XLOOKUP(C673,customers!$A$1:$A$1001,customers!C672:C1672,,0))</f>
        <v/>
      </c>
      <c r="H673" s="2" t="str">
        <f>_xlfn.XLOOKUP(orders!C673,customers!$A$1:$A$1001,customers!$G$1:$G$1001,,0)</f>
        <v>United States</v>
      </c>
      <c r="I673" t="str">
        <f>INDEX(products!$A$1:$G$49,MATCH(orders!$D673, products!$A$1:$A$49,0), MATCH(orders!I$1,products!$A$1:$G$1,0))</f>
        <v>Rob</v>
      </c>
      <c r="J673" t="str">
        <f>INDEX(products!$A$1:$G$49,MATCH(orders!$D673, products!$A$1:$A$49,0), MATCH(orders!J$1,products!$A$1:$G$1,0))</f>
        <v>L</v>
      </c>
      <c r="K673" s="4">
        <f>INDEX(products!$A$1:$G$49,MATCH(orders!$D673, products!$A$1:$A$49,0), MATCH(orders!K$1,products!$A$1:$G$1,0))</f>
        <v>1</v>
      </c>
      <c r="L673" s="5">
        <f>INDEX(products!$A$1:$G$49,MATCH(orders!$D673, products!$A$1:$A$49,0), MATCH(orders!L$1,products!$A$1:$G$1,0))</f>
        <v>11.95</v>
      </c>
      <c r="M673" s="5">
        <f t="shared" si="30"/>
        <v>59.75</v>
      </c>
      <c r="N673" t="str">
        <f t="shared" si="31"/>
        <v>Robusta</v>
      </c>
      <c r="O673" t="str">
        <f t="shared" si="32"/>
        <v>Light</v>
      </c>
      <c r="P673" t="str">
        <f>_xlfn.XLOOKUP(Table1[[#This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IF(_xlfn.XLOOKUP(C674,customers!$A$1:$A$1001,customers!C673:C1673,,0)=0,"",_xlfn.XLOOKUP(C674,customers!$A$1:$A$1001,customers!C673:C1673,,0))</f>
        <v/>
      </c>
      <c r="H674" s="2" t="str">
        <f>_xlfn.XLOOKUP(orders!C674,customers!$A$1:$A$1001,customers!$G$1:$G$1001,,0)</f>
        <v>United States</v>
      </c>
      <c r="I674" t="str">
        <f>INDEX(products!$A$1:$G$49,MATCH(orders!$D674, products!$A$1:$A$49,0), MATCH(orders!I$1,products!$A$1:$G$1,0))</f>
        <v>Lib</v>
      </c>
      <c r="J674" t="str">
        <f>INDEX(products!$A$1:$G$49,MATCH(orders!$D674, products!$A$1:$A$49,0), MATCH(orders!J$1,products!$A$1:$G$1,0))</f>
        <v>M</v>
      </c>
      <c r="K674" s="4">
        <f>INDEX(products!$A$1:$G$49,MATCH(orders!$D674, products!$A$1:$A$49,0), MATCH(orders!K$1,products!$A$1:$G$1,0))</f>
        <v>0.5</v>
      </c>
      <c r="L674" s="5">
        <f>INDEX(products!$A$1:$G$49,MATCH(orders!$D674, products!$A$1:$A$49,0), MATCH(orders!L$1,products!$A$1:$G$1,0))</f>
        <v>8.73</v>
      </c>
      <c r="M674" s="5">
        <f t="shared" si="30"/>
        <v>43.650000000000006</v>
      </c>
      <c r="N674" t="str">
        <f t="shared" si="31"/>
        <v>Liberica</v>
      </c>
      <c r="O674" t="str">
        <f t="shared" si="32"/>
        <v>Medium</v>
      </c>
      <c r="P674" t="str">
        <f>_xlfn.XLOOKUP(Table1[[#This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IF(_xlfn.XLOOKUP(C675,customers!$A$1:$A$1001,customers!C674:C1674,,0)=0,"",_xlfn.XLOOKUP(C675,customers!$A$1:$A$1001,customers!C674:C1674,,0))</f>
        <v/>
      </c>
      <c r="H675" s="2" t="str">
        <f>_xlfn.XLOOKUP(orders!C675,customers!$A$1:$A$1001,customers!$G$1:$G$1001,,0)</f>
        <v>United States</v>
      </c>
      <c r="I675" t="str">
        <f>INDEX(products!$A$1:$G$49,MATCH(orders!$D675, products!$A$1:$A$49,0), MATCH(orders!I$1,products!$A$1:$G$1,0))</f>
        <v>Exc</v>
      </c>
      <c r="J675" t="str">
        <f>INDEX(products!$A$1:$G$49,MATCH(orders!$D675, products!$A$1:$A$49,0), MATCH(orders!J$1,products!$A$1:$G$1,0))</f>
        <v>M</v>
      </c>
      <c r="K675" s="4">
        <f>INDEX(products!$A$1:$G$49,MATCH(orders!$D675, products!$A$1:$A$49,0), MATCH(orders!K$1,products!$A$1:$G$1,0))</f>
        <v>1</v>
      </c>
      <c r="L675" s="5">
        <f>INDEX(products!$A$1:$G$49,MATCH(orders!$D675, products!$A$1:$A$49,0), MATCH(orders!L$1,products!$A$1:$G$1,0))</f>
        <v>13.75</v>
      </c>
      <c r="M675" s="5">
        <f t="shared" si="30"/>
        <v>82.5</v>
      </c>
      <c r="N675" t="str">
        <f t="shared" si="31"/>
        <v>Excelsa</v>
      </c>
      <c r="O675" t="str">
        <f t="shared" si="32"/>
        <v>Medium</v>
      </c>
      <c r="P675" t="str">
        <f>_xlfn.XLOOKUP(Table1[[#This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IF(_xlfn.XLOOKUP(C676,customers!$A$1:$A$1001,customers!C675:C1675,,0)=0,"",_xlfn.XLOOKUP(C676,customers!$A$1:$A$1001,customers!C675:C1675,,0))</f>
        <v/>
      </c>
      <c r="H676" s="2" t="str">
        <f>_xlfn.XLOOKUP(orders!C676,customers!$A$1:$A$1001,customers!$G$1:$G$1001,,0)</f>
        <v>United States</v>
      </c>
      <c r="I676" t="str">
        <f>INDEX(products!$A$1:$G$49,MATCH(orders!$D676, products!$A$1:$A$49,0), MATCH(orders!I$1,products!$A$1:$G$1,0))</f>
        <v>Ara</v>
      </c>
      <c r="J676" t="str">
        <f>INDEX(products!$A$1:$G$49,MATCH(orders!$D676, products!$A$1:$A$49,0), MATCH(orders!J$1,products!$A$1:$G$1,0))</f>
        <v>L</v>
      </c>
      <c r="K676" s="4">
        <f>INDEX(products!$A$1:$G$49,MATCH(orders!$D676, products!$A$1:$A$49,0), MATCH(orders!K$1,products!$A$1:$G$1,0))</f>
        <v>2.5</v>
      </c>
      <c r="L676" s="5">
        <f>INDEX(products!$A$1:$G$49,MATCH(orders!$D676, products!$A$1:$A$49,0), MATCH(orders!L$1,products!$A$1:$G$1,0))</f>
        <v>29.784999999999997</v>
      </c>
      <c r="M676" s="5">
        <f t="shared" si="30"/>
        <v>178.70999999999998</v>
      </c>
      <c r="N676" t="str">
        <f t="shared" si="31"/>
        <v>Arabica</v>
      </c>
      <c r="O676" t="str">
        <f t="shared" si="32"/>
        <v>Light</v>
      </c>
      <c r="P676" t="str">
        <f>_xlfn.XLOOKUP(Table1[[#This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IF(_xlfn.XLOOKUP(C677,customers!$A$1:$A$1001,customers!C676:C1676,,0)=0,"",_xlfn.XLOOKUP(C677,customers!$A$1:$A$1001,customers!C676:C1676,,0))</f>
        <v/>
      </c>
      <c r="H677" s="2" t="str">
        <f>_xlfn.XLOOKUP(orders!C677,customers!$A$1:$A$1001,customers!$G$1:$G$1001,,0)</f>
        <v>United States</v>
      </c>
      <c r="I677" t="str">
        <f>INDEX(products!$A$1:$G$49,MATCH(orders!$D677, products!$A$1:$A$49,0), MATCH(orders!I$1,products!$A$1:$G$1,0))</f>
        <v>Lib</v>
      </c>
      <c r="J677" t="str">
        <f>INDEX(products!$A$1:$G$49,MATCH(orders!$D677, products!$A$1:$A$49,0), MATCH(orders!J$1,products!$A$1:$G$1,0))</f>
        <v>D</v>
      </c>
      <c r="K677" s="4">
        <f>INDEX(products!$A$1:$G$49,MATCH(orders!$D677, products!$A$1:$A$49,0), MATCH(orders!K$1,products!$A$1:$G$1,0))</f>
        <v>2.5</v>
      </c>
      <c r="L677" s="5">
        <f>INDEX(products!$A$1:$G$49,MATCH(orders!$D677, products!$A$1:$A$49,0), MATCH(orders!L$1,products!$A$1:$G$1,0))</f>
        <v>29.784999999999997</v>
      </c>
      <c r="M677" s="5">
        <f t="shared" si="30"/>
        <v>119.13999999999999</v>
      </c>
      <c r="N677" t="str">
        <f t="shared" si="31"/>
        <v>Liberica</v>
      </c>
      <c r="O677" t="str">
        <f t="shared" si="32"/>
        <v>Dark</v>
      </c>
      <c r="P677" t="str">
        <f>_xlfn.XLOOKUP(Table1[[#This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IF(_xlfn.XLOOKUP(C678,customers!$A$1:$A$1001,customers!C677:C1677,,0)=0,"",_xlfn.XLOOKUP(C678,customers!$A$1:$A$1001,customers!C677:C1677,,0))</f>
        <v/>
      </c>
      <c r="H678" s="2" t="str">
        <f>_xlfn.XLOOKUP(orders!C678,customers!$A$1:$A$1001,customers!$G$1:$G$1001,,0)</f>
        <v>United States</v>
      </c>
      <c r="I678" t="str">
        <f>INDEX(products!$A$1:$G$49,MATCH(orders!$D678, products!$A$1:$A$49,0), MATCH(orders!I$1,products!$A$1:$G$1,0))</f>
        <v>Lib</v>
      </c>
      <c r="J678" t="str">
        <f>INDEX(products!$A$1:$G$49,MATCH(orders!$D678, products!$A$1:$A$49,0), MATCH(orders!J$1,products!$A$1:$G$1,0))</f>
        <v>L</v>
      </c>
      <c r="K678" s="4">
        <f>INDEX(products!$A$1:$G$49,MATCH(orders!$D678, products!$A$1:$A$49,0), MATCH(orders!K$1,products!$A$1:$G$1,0))</f>
        <v>0.5</v>
      </c>
      <c r="L678" s="5">
        <f>INDEX(products!$A$1:$G$49,MATCH(orders!$D678, products!$A$1:$A$49,0), MATCH(orders!L$1,products!$A$1:$G$1,0))</f>
        <v>9.51</v>
      </c>
      <c r="M678" s="5">
        <f t="shared" si="30"/>
        <v>47.55</v>
      </c>
      <c r="N678" t="str">
        <f t="shared" si="31"/>
        <v>Liberica</v>
      </c>
      <c r="O678" t="str">
        <f t="shared" si="32"/>
        <v>Light</v>
      </c>
      <c r="P678" t="str">
        <f>_xlfn.XLOOKUP(Table1[[#This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IF(_xlfn.XLOOKUP(C679,customers!$A$1:$A$1001,customers!C678:C1678,,0)=0,"",_xlfn.XLOOKUP(C679,customers!$A$1:$A$1001,customers!C678:C1678,,0))</f>
        <v/>
      </c>
      <c r="H679" s="2" t="str">
        <f>_xlfn.XLOOKUP(orders!C679,customers!$A$1:$A$1001,customers!$G$1:$G$1001,,0)</f>
        <v>Ireland</v>
      </c>
      <c r="I679" t="str">
        <f>INDEX(products!$A$1:$G$49,MATCH(orders!$D679, products!$A$1:$A$49,0), MATCH(orders!I$1,products!$A$1:$G$1,0))</f>
        <v>Lib</v>
      </c>
      <c r="J679" t="str">
        <f>INDEX(products!$A$1:$G$49,MATCH(orders!$D679, products!$A$1:$A$49,0), MATCH(orders!J$1,products!$A$1:$G$1,0))</f>
        <v>M</v>
      </c>
      <c r="K679" s="4">
        <f>INDEX(products!$A$1:$G$49,MATCH(orders!$D679, products!$A$1:$A$49,0), MATCH(orders!K$1,products!$A$1:$G$1,0))</f>
        <v>0.5</v>
      </c>
      <c r="L679" s="5">
        <f>INDEX(products!$A$1:$G$49,MATCH(orders!$D679, products!$A$1:$A$49,0), MATCH(orders!L$1,products!$A$1:$G$1,0))</f>
        <v>8.73</v>
      </c>
      <c r="M679" s="5">
        <f t="shared" si="30"/>
        <v>43.650000000000006</v>
      </c>
      <c r="N679" t="str">
        <f t="shared" si="31"/>
        <v>Liberica</v>
      </c>
      <c r="O679" t="str">
        <f t="shared" si="32"/>
        <v>Medium</v>
      </c>
      <c r="P679" t="str">
        <f>_xlfn.XLOOKUP(Table1[[#This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IF(_xlfn.XLOOKUP(C680,customers!$A$1:$A$1001,customers!C679:C1679,,0)=0,"",_xlfn.XLOOKUP(C680,customers!$A$1:$A$1001,customers!C679:C1679,,0))</f>
        <v/>
      </c>
      <c r="H680" s="2" t="str">
        <f>_xlfn.XLOOKUP(orders!C680,customers!$A$1:$A$1001,customers!$G$1:$G$1001,,0)</f>
        <v>United States</v>
      </c>
      <c r="I680" t="str">
        <f>INDEX(products!$A$1:$G$49,MATCH(orders!$D680, products!$A$1:$A$49,0), MATCH(orders!I$1,products!$A$1:$G$1,0))</f>
        <v>Ara</v>
      </c>
      <c r="J680" t="str">
        <f>INDEX(products!$A$1:$G$49,MATCH(orders!$D680, products!$A$1:$A$49,0), MATCH(orders!J$1,products!$A$1:$G$1,0))</f>
        <v>L</v>
      </c>
      <c r="K680" s="4">
        <f>INDEX(products!$A$1:$G$49,MATCH(orders!$D680, products!$A$1:$A$49,0), MATCH(orders!K$1,products!$A$1:$G$1,0))</f>
        <v>2.5</v>
      </c>
      <c r="L680" s="5">
        <f>INDEX(products!$A$1:$G$49,MATCH(orders!$D680, products!$A$1:$A$49,0), MATCH(orders!L$1,products!$A$1:$G$1,0))</f>
        <v>29.784999999999997</v>
      </c>
      <c r="M680" s="5">
        <f t="shared" si="30"/>
        <v>178.70999999999998</v>
      </c>
      <c r="N680" t="str">
        <f t="shared" si="31"/>
        <v>Arabica</v>
      </c>
      <c r="O680" t="str">
        <f t="shared" si="32"/>
        <v>Light</v>
      </c>
      <c r="P680" t="str">
        <f>_xlfn.XLOOKUP(Table1[[#This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IF(_xlfn.XLOOKUP(C681,customers!$A$1:$A$1001,customers!C680:C1680,,0)=0,"",_xlfn.XLOOKUP(C681,customers!$A$1:$A$1001,customers!C680:C1680,,0))</f>
        <v/>
      </c>
      <c r="H681" s="2" t="str">
        <f>_xlfn.XLOOKUP(orders!C681,customers!$A$1:$A$1001,customers!$G$1:$G$1001,,0)</f>
        <v>United Kingdom</v>
      </c>
      <c r="I681" t="str">
        <f>INDEX(products!$A$1:$G$49,MATCH(orders!$D681, products!$A$1:$A$49,0), MATCH(orders!I$1,products!$A$1:$G$1,0))</f>
        <v>Rob</v>
      </c>
      <c r="J681" t="str">
        <f>INDEX(products!$A$1:$G$49,MATCH(orders!$D681, products!$A$1:$A$49,0), MATCH(orders!J$1,products!$A$1:$G$1,0))</f>
        <v>L</v>
      </c>
      <c r="K681" s="4">
        <f>INDEX(products!$A$1:$G$49,MATCH(orders!$D681, products!$A$1:$A$49,0), MATCH(orders!K$1,products!$A$1:$G$1,0))</f>
        <v>2.5</v>
      </c>
      <c r="L681" s="5">
        <f>INDEX(products!$A$1:$G$49,MATCH(orders!$D681, products!$A$1:$A$49,0), MATCH(orders!L$1,products!$A$1:$G$1,0))</f>
        <v>27.484999999999996</v>
      </c>
      <c r="M681" s="5">
        <f t="shared" si="30"/>
        <v>27.484999999999996</v>
      </c>
      <c r="N681" t="str">
        <f t="shared" si="31"/>
        <v>Robusta</v>
      </c>
      <c r="O681" t="str">
        <f t="shared" si="32"/>
        <v>Light</v>
      </c>
      <c r="P681" t="str">
        <f>_xlfn.XLOOKUP(Table1[[#This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IF(_xlfn.XLOOKUP(C682,customers!$A$1:$A$1001,customers!C681:C1681,,0)=0,"",_xlfn.XLOOKUP(C682,customers!$A$1:$A$1001,customers!C681:C1681,,0))</f>
        <v/>
      </c>
      <c r="H682" s="2" t="str">
        <f>_xlfn.XLOOKUP(orders!C682,customers!$A$1:$A$1001,customers!$G$1:$G$1001,,0)</f>
        <v>United States</v>
      </c>
      <c r="I682" t="str">
        <f>INDEX(products!$A$1:$G$49,MATCH(orders!$D682, products!$A$1:$A$49,0), MATCH(orders!I$1,products!$A$1:$G$1,0))</f>
        <v>Ara</v>
      </c>
      <c r="J682" t="str">
        <f>INDEX(products!$A$1:$G$49,MATCH(orders!$D682, products!$A$1:$A$49,0), MATCH(orders!J$1,products!$A$1:$G$1,0))</f>
        <v>M</v>
      </c>
      <c r="K682" s="4">
        <f>INDEX(products!$A$1:$G$49,MATCH(orders!$D682, products!$A$1:$A$49,0), MATCH(orders!K$1,products!$A$1:$G$1,0))</f>
        <v>1</v>
      </c>
      <c r="L682" s="5">
        <f>INDEX(products!$A$1:$G$49,MATCH(orders!$D682, products!$A$1:$A$49,0), MATCH(orders!L$1,products!$A$1:$G$1,0))</f>
        <v>11.25</v>
      </c>
      <c r="M682" s="5">
        <f t="shared" si="30"/>
        <v>56.25</v>
      </c>
      <c r="N682" t="str">
        <f t="shared" si="31"/>
        <v>Arabica</v>
      </c>
      <c r="O682" t="str">
        <f t="shared" si="32"/>
        <v>Medium</v>
      </c>
      <c r="P682" t="str">
        <f>_xlfn.XLOOKUP(Table1[[#This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IF(_xlfn.XLOOKUP(C683,customers!$A$1:$A$1001,customers!C682:C1682,,0)=0,"",_xlfn.XLOOKUP(C683,customers!$A$1:$A$1001,customers!C682:C1682,,0))</f>
        <v/>
      </c>
      <c r="H683" s="2" t="str">
        <f>_xlfn.XLOOKUP(orders!C683,customers!$A$1:$A$1001,customers!$G$1:$G$1001,,0)</f>
        <v>United Kingdom</v>
      </c>
      <c r="I683" t="str">
        <f>INDEX(products!$A$1:$G$49,MATCH(orders!$D683, products!$A$1:$A$49,0), MATCH(orders!I$1,products!$A$1:$G$1,0))</f>
        <v>Lib</v>
      </c>
      <c r="J683" t="str">
        <f>INDEX(products!$A$1:$G$49,MATCH(orders!$D683, products!$A$1:$A$49,0), MATCH(orders!J$1,products!$A$1:$G$1,0))</f>
        <v>L</v>
      </c>
      <c r="K683" s="4">
        <f>INDEX(products!$A$1:$G$49,MATCH(orders!$D683, products!$A$1:$A$49,0), MATCH(orders!K$1,products!$A$1:$G$1,0))</f>
        <v>0.2</v>
      </c>
      <c r="L683" s="5">
        <f>INDEX(products!$A$1:$G$49,MATCH(orders!$D683, products!$A$1:$A$49,0), MATCH(orders!L$1,products!$A$1:$G$1,0))</f>
        <v>4.7549999999999999</v>
      </c>
      <c r="M683" s="5">
        <f t="shared" si="30"/>
        <v>9.51</v>
      </c>
      <c r="N683" t="str">
        <f t="shared" si="31"/>
        <v>Liberica</v>
      </c>
      <c r="O683" t="str">
        <f t="shared" si="32"/>
        <v>Light</v>
      </c>
      <c r="P683" t="str">
        <f>_xlfn.XLOOKUP(Table1[[#This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IF(_xlfn.XLOOKUP(C684,customers!$A$1:$A$1001,customers!C683:C1683,,0)=0,"",_xlfn.XLOOKUP(C684,customers!$A$1:$A$1001,customers!C683:C1683,,0))</f>
        <v/>
      </c>
      <c r="H684" s="2" t="str">
        <f>_xlfn.XLOOKUP(orders!C684,customers!$A$1:$A$1001,customers!$G$1:$G$1001,,0)</f>
        <v>United States</v>
      </c>
      <c r="I684" t="str">
        <f>INDEX(products!$A$1:$G$49,MATCH(orders!$D684, products!$A$1:$A$49,0), MATCH(orders!I$1,products!$A$1:$G$1,0))</f>
        <v>Exc</v>
      </c>
      <c r="J684" t="str">
        <f>INDEX(products!$A$1:$G$49,MATCH(orders!$D684, products!$A$1:$A$49,0), MATCH(orders!J$1,products!$A$1:$G$1,0))</f>
        <v>M</v>
      </c>
      <c r="K684" s="4">
        <f>INDEX(products!$A$1:$G$49,MATCH(orders!$D684, products!$A$1:$A$49,0), MATCH(orders!K$1,products!$A$1:$G$1,0))</f>
        <v>0.2</v>
      </c>
      <c r="L684" s="5">
        <f>INDEX(products!$A$1:$G$49,MATCH(orders!$D684, products!$A$1:$A$49,0), MATCH(orders!L$1,products!$A$1:$G$1,0))</f>
        <v>4.125</v>
      </c>
      <c r="M684" s="5">
        <f t="shared" si="30"/>
        <v>8.25</v>
      </c>
      <c r="N684" t="str">
        <f t="shared" si="31"/>
        <v>Excelsa</v>
      </c>
      <c r="O684" t="str">
        <f t="shared" si="32"/>
        <v>Medium</v>
      </c>
      <c r="P684" t="str">
        <f>_xlfn.XLOOKUP(Table1[[#This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IF(_xlfn.XLOOKUP(C685,customers!$A$1:$A$1001,customers!C684:C1684,,0)=0,"",_xlfn.XLOOKUP(C685,customers!$A$1:$A$1001,customers!C684:C1684,,0))</f>
        <v/>
      </c>
      <c r="H685" s="2" t="str">
        <f>_xlfn.XLOOKUP(orders!C685,customers!$A$1:$A$1001,customers!$G$1:$G$1001,,0)</f>
        <v>United States</v>
      </c>
      <c r="I685" t="str">
        <f>INDEX(products!$A$1:$G$49,MATCH(orders!$D685, products!$A$1:$A$49,0), MATCH(orders!I$1,products!$A$1:$G$1,0))</f>
        <v>Lib</v>
      </c>
      <c r="J685" t="str">
        <f>INDEX(products!$A$1:$G$49,MATCH(orders!$D685, products!$A$1:$A$49,0), MATCH(orders!J$1,products!$A$1:$G$1,0))</f>
        <v>D</v>
      </c>
      <c r="K685" s="4">
        <f>INDEX(products!$A$1:$G$49,MATCH(orders!$D685, products!$A$1:$A$49,0), MATCH(orders!K$1,products!$A$1:$G$1,0))</f>
        <v>0.5</v>
      </c>
      <c r="L685" s="5">
        <f>INDEX(products!$A$1:$G$49,MATCH(orders!$D685, products!$A$1:$A$49,0), MATCH(orders!L$1,products!$A$1:$G$1,0))</f>
        <v>7.77</v>
      </c>
      <c r="M685" s="5">
        <f t="shared" si="30"/>
        <v>46.62</v>
      </c>
      <c r="N685" t="str">
        <f t="shared" si="31"/>
        <v>Liberica</v>
      </c>
      <c r="O685" t="str">
        <f t="shared" si="32"/>
        <v>Dark</v>
      </c>
      <c r="P685" t="str">
        <f>_xlfn.XLOOKUP(Table1[[#This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IF(_xlfn.XLOOKUP(C686,customers!$A$1:$A$1001,customers!C685:C1685,,0)=0,"",_xlfn.XLOOKUP(C686,customers!$A$1:$A$1001,customers!C685:C1685,,0))</f>
        <v/>
      </c>
      <c r="H686" s="2" t="str">
        <f>_xlfn.XLOOKUP(orders!C686,customers!$A$1:$A$1001,customers!$G$1:$G$1001,,0)</f>
        <v>United States</v>
      </c>
      <c r="I686" t="str">
        <f>INDEX(products!$A$1:$G$49,MATCH(orders!$D686, products!$A$1:$A$49,0), MATCH(orders!I$1,products!$A$1:$G$1,0))</f>
        <v>Rob</v>
      </c>
      <c r="J686" t="str">
        <f>INDEX(products!$A$1:$G$49,MATCH(orders!$D686, products!$A$1:$A$49,0), MATCH(orders!J$1,products!$A$1:$G$1,0))</f>
        <v>L</v>
      </c>
      <c r="K686" s="4">
        <f>INDEX(products!$A$1:$G$49,MATCH(orders!$D686, products!$A$1:$A$49,0), MATCH(orders!K$1,products!$A$1:$G$1,0))</f>
        <v>1</v>
      </c>
      <c r="L686" s="5">
        <f>INDEX(products!$A$1:$G$49,MATCH(orders!$D686, products!$A$1:$A$49,0), MATCH(orders!L$1,products!$A$1:$G$1,0))</f>
        <v>11.95</v>
      </c>
      <c r="M686" s="5">
        <f t="shared" si="30"/>
        <v>71.699999999999989</v>
      </c>
      <c r="N686" t="str">
        <f t="shared" si="31"/>
        <v>Robusta</v>
      </c>
      <c r="O686" t="str">
        <f t="shared" si="32"/>
        <v>Light</v>
      </c>
      <c r="P686" t="str">
        <f>_xlfn.XLOOKUP(Table1[[#This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IF(_xlfn.XLOOKUP(C687,customers!$A$1:$A$1001,customers!C686:C1686,,0)=0,"",_xlfn.XLOOKUP(C687,customers!$A$1:$A$1001,customers!C686:C1686,,0))</f>
        <v/>
      </c>
      <c r="H687" s="2" t="str">
        <f>_xlfn.XLOOKUP(orders!C687,customers!$A$1:$A$1001,customers!$G$1:$G$1001,,0)</f>
        <v>United States</v>
      </c>
      <c r="I687" t="str">
        <f>INDEX(products!$A$1:$G$49,MATCH(orders!$D687, products!$A$1:$A$49,0), MATCH(orders!I$1,products!$A$1:$G$1,0))</f>
        <v>Lib</v>
      </c>
      <c r="J687" t="str">
        <f>INDEX(products!$A$1:$G$49,MATCH(orders!$D687, products!$A$1:$A$49,0), MATCH(orders!J$1,products!$A$1:$G$1,0))</f>
        <v>L</v>
      </c>
      <c r="K687" s="4">
        <f>INDEX(products!$A$1:$G$49,MATCH(orders!$D687, products!$A$1:$A$49,0), MATCH(orders!K$1,products!$A$1:$G$1,0))</f>
        <v>2.5</v>
      </c>
      <c r="L687" s="5">
        <f>INDEX(products!$A$1:$G$49,MATCH(orders!$D687, products!$A$1:$A$49,0), MATCH(orders!L$1,products!$A$1:$G$1,0))</f>
        <v>36.454999999999998</v>
      </c>
      <c r="M687" s="5">
        <f t="shared" si="30"/>
        <v>72.91</v>
      </c>
      <c r="N687" t="str">
        <f t="shared" si="31"/>
        <v>Liberica</v>
      </c>
      <c r="O687" t="str">
        <f t="shared" si="32"/>
        <v>Light</v>
      </c>
      <c r="P687" t="str">
        <f>_xlfn.XLOOKUP(Table1[[#This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IF(_xlfn.XLOOKUP(C688,customers!$A$1:$A$1001,customers!C687:C1687,,0)=0,"",_xlfn.XLOOKUP(C688,customers!$A$1:$A$1001,customers!C687:C1687,,0))</f>
        <v/>
      </c>
      <c r="H688" s="2" t="str">
        <f>_xlfn.XLOOKUP(orders!C688,customers!$A$1:$A$1001,customers!$G$1:$G$1001,,0)</f>
        <v>United States</v>
      </c>
      <c r="I688" t="str">
        <f>INDEX(products!$A$1:$G$49,MATCH(orders!$D688, products!$A$1:$A$49,0), MATCH(orders!I$1,products!$A$1:$G$1,0))</f>
        <v>Rob</v>
      </c>
      <c r="J688" t="str">
        <f>INDEX(products!$A$1:$G$49,MATCH(orders!$D688, products!$A$1:$A$49,0), MATCH(orders!J$1,products!$A$1:$G$1,0))</f>
        <v>D</v>
      </c>
      <c r="K688" s="4">
        <f>INDEX(products!$A$1:$G$49,MATCH(orders!$D688, products!$A$1:$A$49,0), MATCH(orders!K$1,products!$A$1:$G$1,0))</f>
        <v>0.2</v>
      </c>
      <c r="L688" s="5">
        <f>INDEX(products!$A$1:$G$49,MATCH(orders!$D688, products!$A$1:$A$49,0), MATCH(orders!L$1,products!$A$1:$G$1,0))</f>
        <v>2.6849999999999996</v>
      </c>
      <c r="M688" s="5">
        <f t="shared" si="30"/>
        <v>8.0549999999999997</v>
      </c>
      <c r="N688" t="str">
        <f t="shared" si="31"/>
        <v>Robusta</v>
      </c>
      <c r="O688" t="str">
        <f t="shared" si="32"/>
        <v>Dark</v>
      </c>
      <c r="P688" t="str">
        <f>_xlfn.XLOOKUP(Table1[[#This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IF(_xlfn.XLOOKUP(C689,customers!$A$1:$A$1001,customers!C688:C1688,,0)=0,"",_xlfn.XLOOKUP(C689,customers!$A$1:$A$1001,customers!C688:C1688,,0))</f>
        <v/>
      </c>
      <c r="H689" s="2" t="str">
        <f>_xlfn.XLOOKUP(orders!C689,customers!$A$1:$A$1001,customers!$G$1:$G$1001,,0)</f>
        <v>United States</v>
      </c>
      <c r="I689" t="str">
        <f>INDEX(products!$A$1:$G$49,MATCH(orders!$D689, products!$A$1:$A$49,0), MATCH(orders!I$1,products!$A$1:$G$1,0))</f>
        <v>Exc</v>
      </c>
      <c r="J689" t="str">
        <f>INDEX(products!$A$1:$G$49,MATCH(orders!$D689, products!$A$1:$A$49,0), MATCH(orders!J$1,products!$A$1:$G$1,0))</f>
        <v>M</v>
      </c>
      <c r="K689" s="4">
        <f>INDEX(products!$A$1:$G$49,MATCH(orders!$D689, products!$A$1:$A$49,0), MATCH(orders!K$1,products!$A$1:$G$1,0))</f>
        <v>0.5</v>
      </c>
      <c r="L689" s="5">
        <f>INDEX(products!$A$1:$G$49,MATCH(orders!$D689, products!$A$1:$A$49,0), MATCH(orders!L$1,products!$A$1:$G$1,0))</f>
        <v>8.25</v>
      </c>
      <c r="M689" s="5">
        <f t="shared" si="30"/>
        <v>16.5</v>
      </c>
      <c r="N689" t="str">
        <f t="shared" si="31"/>
        <v>Excelsa</v>
      </c>
      <c r="O689" t="str">
        <f t="shared" si="32"/>
        <v>Medium</v>
      </c>
      <c r="P689" t="str">
        <f>_xlfn.XLOOKUP(Table1[[#This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IF(_xlfn.XLOOKUP(C690,customers!$A$1:$A$1001,customers!C689:C1689,,0)=0,"",_xlfn.XLOOKUP(C690,customers!$A$1:$A$1001,customers!C689:C1689,,0))</f>
        <v/>
      </c>
      <c r="H690" s="2" t="str">
        <f>_xlfn.XLOOKUP(orders!C690,customers!$A$1:$A$1001,customers!$G$1:$G$1001,,0)</f>
        <v>Ireland</v>
      </c>
      <c r="I690" t="str">
        <f>INDEX(products!$A$1:$G$49,MATCH(orders!$D690, products!$A$1:$A$49,0), MATCH(orders!I$1,products!$A$1:$G$1,0))</f>
        <v>Ara</v>
      </c>
      <c r="J690" t="str">
        <f>INDEX(products!$A$1:$G$49,MATCH(orders!$D690, products!$A$1:$A$49,0), MATCH(orders!J$1,products!$A$1:$G$1,0))</f>
        <v>L</v>
      </c>
      <c r="K690" s="4">
        <f>INDEX(products!$A$1:$G$49,MATCH(orders!$D690, products!$A$1:$A$49,0), MATCH(orders!K$1,products!$A$1:$G$1,0))</f>
        <v>1</v>
      </c>
      <c r="L690" s="5">
        <f>INDEX(products!$A$1:$G$49,MATCH(orders!$D690, products!$A$1:$A$49,0), MATCH(orders!L$1,products!$A$1:$G$1,0))</f>
        <v>12.95</v>
      </c>
      <c r="M690" s="5">
        <f t="shared" si="30"/>
        <v>64.75</v>
      </c>
      <c r="N690" t="str">
        <f t="shared" si="31"/>
        <v>Arabica</v>
      </c>
      <c r="O690" t="str">
        <f t="shared" si="32"/>
        <v>Light</v>
      </c>
      <c r="P690" t="str">
        <f>_xlfn.XLOOKUP(Table1[[#This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IF(_xlfn.XLOOKUP(C691,customers!$A$1:$A$1001,customers!C690:C1690,,0)=0,"",_xlfn.XLOOKUP(C691,customers!$A$1:$A$1001,customers!C690:C1690,,0))</f>
        <v/>
      </c>
      <c r="H691" s="2" t="str">
        <f>_xlfn.XLOOKUP(orders!C691,customers!$A$1:$A$1001,customers!$G$1:$G$1001,,0)</f>
        <v>United States</v>
      </c>
      <c r="I691" t="str">
        <f>INDEX(products!$A$1:$G$49,MATCH(orders!$D691, products!$A$1:$A$49,0), MATCH(orders!I$1,products!$A$1:$G$1,0))</f>
        <v>Ara</v>
      </c>
      <c r="J691" t="str">
        <f>INDEX(products!$A$1:$G$49,MATCH(orders!$D691, products!$A$1:$A$49,0), MATCH(orders!J$1,products!$A$1:$G$1,0))</f>
        <v>M</v>
      </c>
      <c r="K691" s="4">
        <f>INDEX(products!$A$1:$G$49,MATCH(orders!$D691, products!$A$1:$A$49,0), MATCH(orders!K$1,products!$A$1:$G$1,0))</f>
        <v>0.5</v>
      </c>
      <c r="L691" s="5">
        <f>INDEX(products!$A$1:$G$49,MATCH(orders!$D691, products!$A$1:$A$49,0), MATCH(orders!L$1,products!$A$1:$G$1,0))</f>
        <v>6.75</v>
      </c>
      <c r="M691" s="5">
        <f t="shared" si="30"/>
        <v>33.75</v>
      </c>
      <c r="N691" t="str">
        <f t="shared" si="31"/>
        <v>Arabica</v>
      </c>
      <c r="O691" t="str">
        <f t="shared" si="32"/>
        <v>Medium</v>
      </c>
      <c r="P691" t="str">
        <f>_xlfn.XLOOKUP(Table1[[#This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IF(_xlfn.XLOOKUP(C692,customers!$A$1:$A$1001,customers!C691:C1691,,0)=0,"",_xlfn.XLOOKUP(C692,customers!$A$1:$A$1001,customers!C691:C1691,,0))</f>
        <v/>
      </c>
      <c r="H692" s="2" t="str">
        <f>_xlfn.XLOOKUP(orders!C692,customers!$A$1:$A$1001,customers!$G$1:$G$1001,,0)</f>
        <v>United States</v>
      </c>
      <c r="I692" t="str">
        <f>INDEX(products!$A$1:$G$49,MATCH(orders!$D692, products!$A$1:$A$49,0), MATCH(orders!I$1,products!$A$1:$G$1,0))</f>
        <v>Lib</v>
      </c>
      <c r="J692" t="str">
        <f>INDEX(products!$A$1:$G$49,MATCH(orders!$D692, products!$A$1:$A$49,0), MATCH(orders!J$1,products!$A$1:$G$1,0))</f>
        <v>D</v>
      </c>
      <c r="K692" s="4">
        <f>INDEX(products!$A$1:$G$49,MATCH(orders!$D692, products!$A$1:$A$49,0), MATCH(orders!K$1,products!$A$1:$G$1,0))</f>
        <v>2.5</v>
      </c>
      <c r="L692" s="5">
        <f>INDEX(products!$A$1:$G$49,MATCH(orders!$D692, products!$A$1:$A$49,0), MATCH(orders!L$1,products!$A$1:$G$1,0))</f>
        <v>29.784999999999997</v>
      </c>
      <c r="M692" s="5">
        <f t="shared" si="30"/>
        <v>178.70999999999998</v>
      </c>
      <c r="N692" t="str">
        <f t="shared" si="31"/>
        <v>Liberica</v>
      </c>
      <c r="O692" t="str">
        <f t="shared" si="32"/>
        <v>Dark</v>
      </c>
      <c r="P692" t="str">
        <f>_xlfn.XLOOKUP(Table1[[#This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IF(_xlfn.XLOOKUP(C693,customers!$A$1:$A$1001,customers!C692:C1692,,0)=0,"",_xlfn.XLOOKUP(C693,customers!$A$1:$A$1001,customers!C692:C1692,,0))</f>
        <v/>
      </c>
      <c r="H693" s="2" t="str">
        <f>_xlfn.XLOOKUP(orders!C693,customers!$A$1:$A$1001,customers!$G$1:$G$1001,,0)</f>
        <v>Ireland</v>
      </c>
      <c r="I693" t="str">
        <f>INDEX(products!$A$1:$G$49,MATCH(orders!$D693, products!$A$1:$A$49,0), MATCH(orders!I$1,products!$A$1:$G$1,0))</f>
        <v>Ara</v>
      </c>
      <c r="J693" t="str">
        <f>INDEX(products!$A$1:$G$49,MATCH(orders!$D693, products!$A$1:$A$49,0), MATCH(orders!J$1,products!$A$1:$G$1,0))</f>
        <v>M</v>
      </c>
      <c r="K693" s="4">
        <f>INDEX(products!$A$1:$G$49,MATCH(orders!$D693, products!$A$1:$A$49,0), MATCH(orders!K$1,products!$A$1:$G$1,0))</f>
        <v>1</v>
      </c>
      <c r="L693" s="5">
        <f>INDEX(products!$A$1:$G$49,MATCH(orders!$D693, products!$A$1:$A$49,0), MATCH(orders!L$1,products!$A$1:$G$1,0))</f>
        <v>11.25</v>
      </c>
      <c r="M693" s="5">
        <f t="shared" si="30"/>
        <v>22.5</v>
      </c>
      <c r="N693" t="str">
        <f t="shared" si="31"/>
        <v>Arabica</v>
      </c>
      <c r="O693" t="str">
        <f t="shared" si="32"/>
        <v>Medium</v>
      </c>
      <c r="P693" t="str">
        <f>_xlfn.XLOOKUP(Table1[[#This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IF(_xlfn.XLOOKUP(C694,customers!$A$1:$A$1001,customers!C693:C1693,,0)=0,"",_xlfn.XLOOKUP(C694,customers!$A$1:$A$1001,customers!C693:C1693,,0))</f>
        <v/>
      </c>
      <c r="H694" s="2" t="str">
        <f>_xlfn.XLOOKUP(orders!C694,customers!$A$1:$A$1001,customers!$G$1:$G$1001,,0)</f>
        <v>United States</v>
      </c>
      <c r="I694" t="str">
        <f>INDEX(products!$A$1:$G$49,MATCH(orders!$D694, products!$A$1:$A$49,0), MATCH(orders!I$1,products!$A$1:$G$1,0))</f>
        <v>Lib</v>
      </c>
      <c r="J694" t="str">
        <f>INDEX(products!$A$1:$G$49,MATCH(orders!$D694, products!$A$1:$A$49,0), MATCH(orders!J$1,products!$A$1:$G$1,0))</f>
        <v>D</v>
      </c>
      <c r="K694" s="4">
        <f>INDEX(products!$A$1:$G$49,MATCH(orders!$D694, products!$A$1:$A$49,0), MATCH(orders!K$1,products!$A$1:$G$1,0))</f>
        <v>1</v>
      </c>
      <c r="L694" s="5">
        <f>INDEX(products!$A$1:$G$49,MATCH(orders!$D694, products!$A$1:$A$49,0), MATCH(orders!L$1,products!$A$1:$G$1,0))</f>
        <v>12.95</v>
      </c>
      <c r="M694" s="5">
        <f t="shared" si="30"/>
        <v>12.95</v>
      </c>
      <c r="N694" t="str">
        <f t="shared" si="31"/>
        <v>Liberica</v>
      </c>
      <c r="O694" t="str">
        <f t="shared" si="32"/>
        <v>Dark</v>
      </c>
      <c r="P694" t="str">
        <f>_xlfn.XLOOKUP(Table1[[#This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IF(_xlfn.XLOOKUP(C695,customers!$A$1:$A$1001,customers!C694:C1694,,0)=0,"",_xlfn.XLOOKUP(C695,customers!$A$1:$A$1001,customers!C694:C1694,,0))</f>
        <v/>
      </c>
      <c r="H695" s="2" t="str">
        <f>_xlfn.XLOOKUP(orders!C695,customers!$A$1:$A$1001,customers!$G$1:$G$1001,,0)</f>
        <v>United States</v>
      </c>
      <c r="I695" t="str">
        <f>INDEX(products!$A$1:$G$49,MATCH(orders!$D695, products!$A$1:$A$49,0), MATCH(orders!I$1,products!$A$1:$G$1,0))</f>
        <v>Ara</v>
      </c>
      <c r="J695" t="str">
        <f>INDEX(products!$A$1:$G$49,MATCH(orders!$D695, products!$A$1:$A$49,0), MATCH(orders!J$1,products!$A$1:$G$1,0))</f>
        <v>M</v>
      </c>
      <c r="K695" s="4">
        <f>INDEX(products!$A$1:$G$49,MATCH(orders!$D695, products!$A$1:$A$49,0), MATCH(orders!K$1,products!$A$1:$G$1,0))</f>
        <v>2.5</v>
      </c>
      <c r="L695" s="5">
        <f>INDEX(products!$A$1:$G$49,MATCH(orders!$D695, products!$A$1:$A$49,0), MATCH(orders!L$1,products!$A$1:$G$1,0))</f>
        <v>25.874999999999996</v>
      </c>
      <c r="M695" s="5">
        <f t="shared" si="30"/>
        <v>51.749999999999993</v>
      </c>
      <c r="N695" t="str">
        <f t="shared" si="31"/>
        <v>Arabica</v>
      </c>
      <c r="O695" t="str">
        <f t="shared" si="32"/>
        <v>Medium</v>
      </c>
      <c r="P695" t="str">
        <f>_xlfn.XLOOKUP(Table1[[#This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IF(_xlfn.XLOOKUP(C696,customers!$A$1:$A$1001,customers!C695:C1695,,0)=0,"",_xlfn.XLOOKUP(C696,customers!$A$1:$A$1001,customers!C695:C1695,,0))</f>
        <v/>
      </c>
      <c r="H696" s="2" t="str">
        <f>_xlfn.XLOOKUP(orders!C696,customers!$A$1:$A$1001,customers!$G$1:$G$1001,,0)</f>
        <v>United States</v>
      </c>
      <c r="I696" t="str">
        <f>INDEX(products!$A$1:$G$49,MATCH(orders!$D696, products!$A$1:$A$49,0), MATCH(orders!I$1,products!$A$1:$G$1,0))</f>
        <v>Exc</v>
      </c>
      <c r="J696" t="str">
        <f>INDEX(products!$A$1:$G$49,MATCH(orders!$D696, products!$A$1:$A$49,0), MATCH(orders!J$1,products!$A$1:$G$1,0))</f>
        <v>D</v>
      </c>
      <c r="K696" s="4">
        <f>INDEX(products!$A$1:$G$49,MATCH(orders!$D696, products!$A$1:$A$49,0), MATCH(orders!K$1,products!$A$1:$G$1,0))</f>
        <v>0.5</v>
      </c>
      <c r="L696" s="5">
        <f>INDEX(products!$A$1:$G$49,MATCH(orders!$D696, products!$A$1:$A$49,0), MATCH(orders!L$1,products!$A$1:$G$1,0))</f>
        <v>7.29</v>
      </c>
      <c r="M696" s="5">
        <f t="shared" si="30"/>
        <v>36.450000000000003</v>
      </c>
      <c r="N696" t="str">
        <f t="shared" si="31"/>
        <v>Excelsa</v>
      </c>
      <c r="O696" t="str">
        <f t="shared" si="32"/>
        <v>Dark</v>
      </c>
      <c r="P696" t="str">
        <f>_xlfn.XLOOKUP(Table1[[#This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IF(_xlfn.XLOOKUP(C697,customers!$A$1:$A$1001,customers!C696:C1696,,0)=0,"",_xlfn.XLOOKUP(C697,customers!$A$1:$A$1001,customers!C696:C1696,,0))</f>
        <v/>
      </c>
      <c r="H697" s="2" t="str">
        <f>_xlfn.XLOOKUP(orders!C697,customers!$A$1:$A$1001,customers!$G$1:$G$1001,,0)</f>
        <v>United States</v>
      </c>
      <c r="I697" t="str">
        <f>INDEX(products!$A$1:$G$49,MATCH(orders!$D697, products!$A$1:$A$49,0), MATCH(orders!I$1,products!$A$1:$G$1,0))</f>
        <v>Lib</v>
      </c>
      <c r="J697" t="str">
        <f>INDEX(products!$A$1:$G$49,MATCH(orders!$D697, products!$A$1:$A$49,0), MATCH(orders!J$1,products!$A$1:$G$1,0))</f>
        <v>L</v>
      </c>
      <c r="K697" s="4">
        <f>INDEX(products!$A$1:$G$49,MATCH(orders!$D697, products!$A$1:$A$49,0), MATCH(orders!K$1,products!$A$1:$G$1,0))</f>
        <v>2.5</v>
      </c>
      <c r="L697" s="5">
        <f>INDEX(products!$A$1:$G$49,MATCH(orders!$D697, products!$A$1:$A$49,0), MATCH(orders!L$1,products!$A$1:$G$1,0))</f>
        <v>36.454999999999998</v>
      </c>
      <c r="M697" s="5">
        <f t="shared" si="30"/>
        <v>182.27499999999998</v>
      </c>
      <c r="N697" t="str">
        <f t="shared" si="31"/>
        <v>Liberica</v>
      </c>
      <c r="O697" t="str">
        <f t="shared" si="32"/>
        <v>Light</v>
      </c>
      <c r="P697" t="str">
        <f>_xlfn.XLOOKUP(Table1[[#This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IF(_xlfn.XLOOKUP(C698,customers!$A$1:$A$1001,customers!C697:C1697,,0)=0,"",_xlfn.XLOOKUP(C698,customers!$A$1:$A$1001,customers!C697:C1697,,0))</f>
        <v/>
      </c>
      <c r="H698" s="2" t="str">
        <f>_xlfn.XLOOKUP(orders!C698,customers!$A$1:$A$1001,customers!$G$1:$G$1001,,0)</f>
        <v>United States</v>
      </c>
      <c r="I698" t="str">
        <f>INDEX(products!$A$1:$G$49,MATCH(orders!$D698, products!$A$1:$A$49,0), MATCH(orders!I$1,products!$A$1:$G$1,0))</f>
        <v>Lib</v>
      </c>
      <c r="J698" t="str">
        <f>INDEX(products!$A$1:$G$49,MATCH(orders!$D698, products!$A$1:$A$49,0), MATCH(orders!J$1,products!$A$1:$G$1,0))</f>
        <v>D</v>
      </c>
      <c r="K698" s="4">
        <f>INDEX(products!$A$1:$G$49,MATCH(orders!$D698, products!$A$1:$A$49,0), MATCH(orders!K$1,products!$A$1:$G$1,0))</f>
        <v>0.5</v>
      </c>
      <c r="L698" s="5">
        <f>INDEX(products!$A$1:$G$49,MATCH(orders!$D698, products!$A$1:$A$49,0), MATCH(orders!L$1,products!$A$1:$G$1,0))</f>
        <v>7.77</v>
      </c>
      <c r="M698" s="5">
        <f t="shared" si="30"/>
        <v>31.08</v>
      </c>
      <c r="N698" t="str">
        <f t="shared" si="31"/>
        <v>Liberica</v>
      </c>
      <c r="O698" t="str">
        <f t="shared" si="32"/>
        <v>Dark</v>
      </c>
      <c r="P698" t="str">
        <f>_xlfn.XLOOKUP(Table1[[#This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IF(_xlfn.XLOOKUP(C699,customers!$A$1:$A$1001,customers!C698:C1698,,0)=0,"",_xlfn.XLOOKUP(C699,customers!$A$1:$A$1001,customers!C698:C1698,,0))</f>
        <v/>
      </c>
      <c r="H699" s="2" t="str">
        <f>_xlfn.XLOOKUP(orders!C699,customers!$A$1:$A$1001,customers!$G$1:$G$1001,,0)</f>
        <v>Ireland</v>
      </c>
      <c r="I699" t="str">
        <f>INDEX(products!$A$1:$G$49,MATCH(orders!$D699, products!$A$1:$A$49,0), MATCH(orders!I$1,products!$A$1:$G$1,0))</f>
        <v>Ara</v>
      </c>
      <c r="J699" t="str">
        <f>INDEX(products!$A$1:$G$49,MATCH(orders!$D699, products!$A$1:$A$49,0), MATCH(orders!J$1,products!$A$1:$G$1,0))</f>
        <v>M</v>
      </c>
      <c r="K699" s="4">
        <f>INDEX(products!$A$1:$G$49,MATCH(orders!$D699, products!$A$1:$A$49,0), MATCH(orders!K$1,products!$A$1:$G$1,0))</f>
        <v>0.5</v>
      </c>
      <c r="L699" s="5">
        <f>INDEX(products!$A$1:$G$49,MATCH(orders!$D699, products!$A$1:$A$49,0), MATCH(orders!L$1,products!$A$1:$G$1,0))</f>
        <v>6.75</v>
      </c>
      <c r="M699" s="5">
        <f t="shared" si="30"/>
        <v>20.25</v>
      </c>
      <c r="N699" t="str">
        <f t="shared" si="31"/>
        <v>Arabica</v>
      </c>
      <c r="O699" t="str">
        <f t="shared" si="32"/>
        <v>Medium</v>
      </c>
      <c r="P699" t="str">
        <f>_xlfn.XLOOKUP(Table1[[#This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IF(_xlfn.XLOOKUP(C700,customers!$A$1:$A$1001,customers!C699:C1699,,0)=0,"",_xlfn.XLOOKUP(C700,customers!$A$1:$A$1001,customers!C699:C1699,,0))</f>
        <v/>
      </c>
      <c r="H700" s="2" t="str">
        <f>_xlfn.XLOOKUP(orders!C700,customers!$A$1:$A$1001,customers!$G$1:$G$1001,,0)</f>
        <v>Ireland</v>
      </c>
      <c r="I700" t="str">
        <f>INDEX(products!$A$1:$G$49,MATCH(orders!$D700, products!$A$1:$A$49,0), MATCH(orders!I$1,products!$A$1:$G$1,0))</f>
        <v>Lib</v>
      </c>
      <c r="J700" t="str">
        <f>INDEX(products!$A$1:$G$49,MATCH(orders!$D700, products!$A$1:$A$49,0), MATCH(orders!J$1,products!$A$1:$G$1,0))</f>
        <v>D</v>
      </c>
      <c r="K700" s="4">
        <f>INDEX(products!$A$1:$G$49,MATCH(orders!$D700, products!$A$1:$A$49,0), MATCH(orders!K$1,products!$A$1:$G$1,0))</f>
        <v>1</v>
      </c>
      <c r="L700" s="5">
        <f>INDEX(products!$A$1:$G$49,MATCH(orders!$D700, products!$A$1:$A$49,0), MATCH(orders!L$1,products!$A$1:$G$1,0))</f>
        <v>12.95</v>
      </c>
      <c r="M700" s="5">
        <f t="shared" si="30"/>
        <v>25.9</v>
      </c>
      <c r="N700" t="str">
        <f t="shared" si="31"/>
        <v>Liberica</v>
      </c>
      <c r="O700" t="str">
        <f t="shared" si="32"/>
        <v>Dark</v>
      </c>
      <c r="P700" t="str">
        <f>_xlfn.XLOOKUP(Table1[[#This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IF(_xlfn.XLOOKUP(C701,customers!$A$1:$A$1001,customers!C700:C1700,,0)=0,"",_xlfn.XLOOKUP(C701,customers!$A$1:$A$1001,customers!C700:C1700,,0))</f>
        <v/>
      </c>
      <c r="H701" s="2" t="str">
        <f>_xlfn.XLOOKUP(orders!C701,customers!$A$1:$A$1001,customers!$G$1:$G$1001,,0)</f>
        <v>United States</v>
      </c>
      <c r="I701" t="str">
        <f>INDEX(products!$A$1:$G$49,MATCH(orders!$D701, products!$A$1:$A$49,0), MATCH(orders!I$1,products!$A$1:$G$1,0))</f>
        <v>Ara</v>
      </c>
      <c r="J701" t="str">
        <f>INDEX(products!$A$1:$G$49,MATCH(orders!$D701, products!$A$1:$A$49,0), MATCH(orders!J$1,products!$A$1:$G$1,0))</f>
        <v>D</v>
      </c>
      <c r="K701" s="4">
        <f>INDEX(products!$A$1:$G$49,MATCH(orders!$D701, products!$A$1:$A$49,0), MATCH(orders!K$1,products!$A$1:$G$1,0))</f>
        <v>0.5</v>
      </c>
      <c r="L701" s="5">
        <f>INDEX(products!$A$1:$G$49,MATCH(orders!$D701, products!$A$1:$A$49,0), MATCH(orders!L$1,products!$A$1:$G$1,0))</f>
        <v>5.97</v>
      </c>
      <c r="M701" s="5">
        <f t="shared" si="30"/>
        <v>23.88</v>
      </c>
      <c r="N701" t="str">
        <f t="shared" si="31"/>
        <v>Arabica</v>
      </c>
      <c r="O701" t="str">
        <f t="shared" si="32"/>
        <v>Dark</v>
      </c>
      <c r="P701" t="str">
        <f>_xlfn.XLOOKUP(Table1[[#This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IF(_xlfn.XLOOKUP(C702,customers!$A$1:$A$1001,customers!C701:C1701,,0)=0,"",_xlfn.XLOOKUP(C702,customers!$A$1:$A$1001,customers!C701:C1701,,0))</f>
        <v/>
      </c>
      <c r="H702" s="2" t="str">
        <f>_xlfn.XLOOKUP(orders!C702,customers!$A$1:$A$1001,customers!$G$1:$G$1001,,0)</f>
        <v>United States</v>
      </c>
      <c r="I702" t="str">
        <f>INDEX(products!$A$1:$G$49,MATCH(orders!$D702, products!$A$1:$A$49,0), MATCH(orders!I$1,products!$A$1:$G$1,0))</f>
        <v>Lib</v>
      </c>
      <c r="J702" t="str">
        <f>INDEX(products!$A$1:$G$49,MATCH(orders!$D702, products!$A$1:$A$49,0), MATCH(orders!J$1,products!$A$1:$G$1,0))</f>
        <v>L</v>
      </c>
      <c r="K702" s="4">
        <f>INDEX(products!$A$1:$G$49,MATCH(orders!$D702, products!$A$1:$A$49,0), MATCH(orders!K$1,products!$A$1:$G$1,0))</f>
        <v>0.5</v>
      </c>
      <c r="L702" s="5">
        <f>INDEX(products!$A$1:$G$49,MATCH(orders!$D702, products!$A$1:$A$49,0), MATCH(orders!L$1,products!$A$1:$G$1,0))</f>
        <v>9.51</v>
      </c>
      <c r="M702" s="5">
        <f t="shared" si="30"/>
        <v>19.02</v>
      </c>
      <c r="N702" t="str">
        <f t="shared" si="31"/>
        <v>Liberica</v>
      </c>
      <c r="O702" t="str">
        <f t="shared" si="32"/>
        <v>Light</v>
      </c>
      <c r="P702" t="str">
        <f>_xlfn.XLOOKUP(Table1[[#This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IF(_xlfn.XLOOKUP(C703,customers!$A$1:$A$1001,customers!C702:C1702,,0)=0,"",_xlfn.XLOOKUP(C703,customers!$A$1:$A$1001,customers!C702:C1702,,0))</f>
        <v/>
      </c>
      <c r="H703" s="2" t="str">
        <f>_xlfn.XLOOKUP(orders!C703,customers!$A$1:$A$1001,customers!$G$1:$G$1001,,0)</f>
        <v>Ireland</v>
      </c>
      <c r="I703" t="str">
        <f>INDEX(products!$A$1:$G$49,MATCH(orders!$D703, products!$A$1:$A$49,0), MATCH(orders!I$1,products!$A$1:$G$1,0))</f>
        <v>Ara</v>
      </c>
      <c r="J703" t="str">
        <f>INDEX(products!$A$1:$G$49,MATCH(orders!$D703, products!$A$1:$A$49,0), MATCH(orders!J$1,products!$A$1:$G$1,0))</f>
        <v>D</v>
      </c>
      <c r="K703" s="4">
        <f>INDEX(products!$A$1:$G$49,MATCH(orders!$D703, products!$A$1:$A$49,0), MATCH(orders!K$1,products!$A$1:$G$1,0))</f>
        <v>0.5</v>
      </c>
      <c r="L703" s="5">
        <f>INDEX(products!$A$1:$G$49,MATCH(orders!$D703, products!$A$1:$A$49,0), MATCH(orders!L$1,products!$A$1:$G$1,0))</f>
        <v>5.97</v>
      </c>
      <c r="M703" s="5">
        <f t="shared" si="30"/>
        <v>29.849999999999998</v>
      </c>
      <c r="N703" t="str">
        <f t="shared" si="31"/>
        <v>Arabica</v>
      </c>
      <c r="O703" t="str">
        <f t="shared" si="32"/>
        <v>Dark</v>
      </c>
      <c r="P703" t="str">
        <f>_xlfn.XLOOKUP(Table1[[#This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IF(_xlfn.XLOOKUP(C704,customers!$A$1:$A$1001,customers!C703:C1703,,0)=0,"",_xlfn.XLOOKUP(C704,customers!$A$1:$A$1001,customers!C703:C1703,,0))</f>
        <v/>
      </c>
      <c r="H704" s="2" t="str">
        <f>_xlfn.XLOOKUP(orders!C704,customers!$A$1:$A$1001,customers!$G$1:$G$1001,,0)</f>
        <v>United States</v>
      </c>
      <c r="I704" t="str">
        <f>INDEX(products!$A$1:$G$49,MATCH(orders!$D704, products!$A$1:$A$49,0), MATCH(orders!I$1,products!$A$1:$G$1,0))</f>
        <v>Ara</v>
      </c>
      <c r="J704" t="str">
        <f>INDEX(products!$A$1:$G$49,MATCH(orders!$D704, products!$A$1:$A$49,0), MATCH(orders!J$1,products!$A$1:$G$1,0))</f>
        <v>L</v>
      </c>
      <c r="K704" s="4">
        <f>INDEX(products!$A$1:$G$49,MATCH(orders!$D704, products!$A$1:$A$49,0), MATCH(orders!K$1,products!$A$1:$G$1,0))</f>
        <v>0.5</v>
      </c>
      <c r="L704" s="5">
        <f>INDEX(products!$A$1:$G$49,MATCH(orders!$D704, products!$A$1:$A$49,0), MATCH(orders!L$1,products!$A$1:$G$1,0))</f>
        <v>7.77</v>
      </c>
      <c r="M704" s="5">
        <f t="shared" si="30"/>
        <v>7.77</v>
      </c>
      <c r="N704" t="str">
        <f t="shared" si="31"/>
        <v>Arabica</v>
      </c>
      <c r="O704" t="str">
        <f t="shared" si="32"/>
        <v>Light</v>
      </c>
      <c r="P704" t="str">
        <f>_xlfn.XLOOKUP(Table1[[#This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IF(_xlfn.XLOOKUP(C705,customers!$A$1:$A$1001,customers!C704:C1704,,0)=0,"",_xlfn.XLOOKUP(C705,customers!$A$1:$A$1001,customers!C704:C1704,,0))</f>
        <v/>
      </c>
      <c r="H705" s="2" t="str">
        <f>_xlfn.XLOOKUP(orders!C705,customers!$A$1:$A$1001,customers!$G$1:$G$1001,,0)</f>
        <v>Ireland</v>
      </c>
      <c r="I705" t="str">
        <f>INDEX(products!$A$1:$G$49,MATCH(orders!$D705, products!$A$1:$A$49,0), MATCH(orders!I$1,products!$A$1:$G$1,0))</f>
        <v>Lib</v>
      </c>
      <c r="J705" t="str">
        <f>INDEX(products!$A$1:$G$49,MATCH(orders!$D705, products!$A$1:$A$49,0), MATCH(orders!J$1,products!$A$1:$G$1,0))</f>
        <v>D</v>
      </c>
      <c r="K705" s="4">
        <f>INDEX(products!$A$1:$G$49,MATCH(orders!$D705, products!$A$1:$A$49,0), MATCH(orders!K$1,products!$A$1:$G$1,0))</f>
        <v>2.5</v>
      </c>
      <c r="L705" s="5">
        <f>INDEX(products!$A$1:$G$49,MATCH(orders!$D705, products!$A$1:$A$49,0), MATCH(orders!L$1,products!$A$1:$G$1,0))</f>
        <v>29.784999999999997</v>
      </c>
      <c r="M705" s="5">
        <f t="shared" si="30"/>
        <v>119.13999999999999</v>
      </c>
      <c r="N705" t="str">
        <f t="shared" si="31"/>
        <v>Liberica</v>
      </c>
      <c r="O705" t="str">
        <f t="shared" si="32"/>
        <v>Dark</v>
      </c>
      <c r="P705" t="str">
        <f>_xlfn.XLOOKUP(Table1[[#This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IF(_xlfn.XLOOKUP(C706,customers!$A$1:$A$1001,customers!C705:C1705,,0)=0,"",_xlfn.XLOOKUP(C706,customers!$A$1:$A$1001,customers!C705:C1705,,0))</f>
        <v/>
      </c>
      <c r="H706" s="2" t="str">
        <f>_xlfn.XLOOKUP(orders!C706,customers!$A$1:$A$1001,customers!$G$1:$G$1001,,0)</f>
        <v>United States</v>
      </c>
      <c r="I706" t="str">
        <f>INDEX(products!$A$1:$G$49,MATCH(orders!$D706, products!$A$1:$A$49,0), MATCH(orders!I$1,products!$A$1:$G$1,0))</f>
        <v>Exc</v>
      </c>
      <c r="J706" t="str">
        <f>INDEX(products!$A$1:$G$49,MATCH(orders!$D706, products!$A$1:$A$49,0), MATCH(orders!J$1,products!$A$1:$G$1,0))</f>
        <v>D</v>
      </c>
      <c r="K706" s="4">
        <f>INDEX(products!$A$1:$G$49,MATCH(orders!$D706, products!$A$1:$A$49,0), MATCH(orders!K$1,products!$A$1:$G$1,0))</f>
        <v>0.2</v>
      </c>
      <c r="L706" s="5">
        <f>INDEX(products!$A$1:$G$49,MATCH(orders!$D706, products!$A$1:$A$49,0), MATCH(orders!L$1,products!$A$1:$G$1,0))</f>
        <v>3.645</v>
      </c>
      <c r="M706" s="5">
        <f t="shared" si="30"/>
        <v>21.87</v>
      </c>
      <c r="N706" t="str">
        <f t="shared" si="31"/>
        <v>Excelsa</v>
      </c>
      <c r="O706" t="str">
        <f t="shared" si="32"/>
        <v>Dark</v>
      </c>
      <c r="P706" t="str">
        <f>_xlfn.XLOOKUP(Table1[[#This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IF(_xlfn.XLOOKUP(C707,customers!$A$1:$A$1001,customers!C706:C1706,,0)=0,"",_xlfn.XLOOKUP(C707,customers!$A$1:$A$1001,customers!C706:C1706,,0))</f>
        <v/>
      </c>
      <c r="H707" s="2" t="str">
        <f>_xlfn.XLOOKUP(orders!C707,customers!$A$1:$A$1001,customers!$G$1:$G$1001,,0)</f>
        <v>United States</v>
      </c>
      <c r="I707" t="str">
        <f>INDEX(products!$A$1:$G$49,MATCH(orders!$D707, products!$A$1:$A$49,0), MATCH(orders!I$1,products!$A$1:$G$1,0))</f>
        <v>Exc</v>
      </c>
      <c r="J707" t="str">
        <f>INDEX(products!$A$1:$G$49,MATCH(orders!$D707, products!$A$1:$A$49,0), MATCH(orders!J$1,products!$A$1:$G$1,0))</f>
        <v>L</v>
      </c>
      <c r="K707" s="4">
        <f>INDEX(products!$A$1:$G$49,MATCH(orders!$D707, products!$A$1:$A$49,0), MATCH(orders!K$1,products!$A$1:$G$1,0))</f>
        <v>0.5</v>
      </c>
      <c r="L707" s="5">
        <f>INDEX(products!$A$1:$G$49,MATCH(orders!$D707, products!$A$1:$A$49,0), MATCH(orders!L$1,products!$A$1:$G$1,0))</f>
        <v>8.91</v>
      </c>
      <c r="M707" s="5">
        <f t="shared" ref="M707:M770" si="33">L707*E707</f>
        <v>17.82</v>
      </c>
      <c r="N707" t="str">
        <f t="shared" ref="N707:N770" si="34">IF(I707="Rob","Robusta",IF(I707="Exc", "Excelsa", IF(I707="Ara","Arabica", IF(I707="lib","Liberica",""))))</f>
        <v>Excelsa</v>
      </c>
      <c r="O707" t="str">
        <f t="shared" ref="O707:O770" si="35">IF(J707="M","Medium",IF(J707="L","Light",IF(J707="D","Dark", "")))</f>
        <v>Light</v>
      </c>
      <c r="P707" t="str">
        <f>_xlfn.XLOOKUP(Table1[[#This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IF(_xlfn.XLOOKUP(C708,customers!$A$1:$A$1001,customers!C707:C1707,,0)=0,"",_xlfn.XLOOKUP(C708,customers!$A$1:$A$1001,customers!C707:C1707,,0))</f>
        <v/>
      </c>
      <c r="H708" s="2" t="str">
        <f>_xlfn.XLOOKUP(orders!C708,customers!$A$1:$A$1001,customers!$G$1:$G$1001,,0)</f>
        <v>United States</v>
      </c>
      <c r="I708" t="str">
        <f>INDEX(products!$A$1:$G$49,MATCH(orders!$D708, products!$A$1:$A$49,0), MATCH(orders!I$1,products!$A$1:$G$1,0))</f>
        <v>Exc</v>
      </c>
      <c r="J708" t="str">
        <f>INDEX(products!$A$1:$G$49,MATCH(orders!$D708, products!$A$1:$A$49,0), MATCH(orders!J$1,products!$A$1:$G$1,0))</f>
        <v>M</v>
      </c>
      <c r="K708" s="4">
        <f>INDEX(products!$A$1:$G$49,MATCH(orders!$D708, products!$A$1:$A$49,0), MATCH(orders!K$1,products!$A$1:$G$1,0))</f>
        <v>0.2</v>
      </c>
      <c r="L708" s="5">
        <f>INDEX(products!$A$1:$G$49,MATCH(orders!$D708, products!$A$1:$A$49,0), MATCH(orders!L$1,products!$A$1:$G$1,0))</f>
        <v>4.125</v>
      </c>
      <c r="M708" s="5">
        <f t="shared" si="33"/>
        <v>12.375</v>
      </c>
      <c r="N708" t="str">
        <f t="shared" si="34"/>
        <v>Excelsa</v>
      </c>
      <c r="O708" t="str">
        <f t="shared" si="35"/>
        <v>Medium</v>
      </c>
      <c r="P708" t="str">
        <f>_xlfn.XLOOKUP(Table1[[#This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IF(_xlfn.XLOOKUP(C709,customers!$A$1:$A$1001,customers!C708:C1708,,0)=0,"",_xlfn.XLOOKUP(C709,customers!$A$1:$A$1001,customers!C708:C1708,,0))</f>
        <v/>
      </c>
      <c r="H709" s="2" t="str">
        <f>_xlfn.XLOOKUP(orders!C709,customers!$A$1:$A$1001,customers!$G$1:$G$1001,,0)</f>
        <v>Ireland</v>
      </c>
      <c r="I709" t="str">
        <f>INDEX(products!$A$1:$G$49,MATCH(orders!$D709, products!$A$1:$A$49,0), MATCH(orders!I$1,products!$A$1:$G$1,0))</f>
        <v>Lib</v>
      </c>
      <c r="J709" t="str">
        <f>INDEX(products!$A$1:$G$49,MATCH(orders!$D709, products!$A$1:$A$49,0), MATCH(orders!J$1,products!$A$1:$G$1,0))</f>
        <v>D</v>
      </c>
      <c r="K709" s="4">
        <f>INDEX(products!$A$1:$G$49,MATCH(orders!$D709, products!$A$1:$A$49,0), MATCH(orders!K$1,products!$A$1:$G$1,0))</f>
        <v>1</v>
      </c>
      <c r="L709" s="5">
        <f>INDEX(products!$A$1:$G$49,MATCH(orders!$D709, products!$A$1:$A$49,0), MATCH(orders!L$1,products!$A$1:$G$1,0))</f>
        <v>12.95</v>
      </c>
      <c r="M709" s="5">
        <f t="shared" si="33"/>
        <v>25.9</v>
      </c>
      <c r="N709" t="str">
        <f t="shared" si="34"/>
        <v>Liberica</v>
      </c>
      <c r="O709" t="str">
        <f t="shared" si="35"/>
        <v>Dark</v>
      </c>
      <c r="P709" t="str">
        <f>_xlfn.XLOOKUP(Table1[[#This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IF(_xlfn.XLOOKUP(C710,customers!$A$1:$A$1001,customers!C709:C1709,,0)=0,"",_xlfn.XLOOKUP(C710,customers!$A$1:$A$1001,customers!C709:C1709,,0))</f>
        <v/>
      </c>
      <c r="H710" s="2" t="str">
        <f>_xlfn.XLOOKUP(orders!C710,customers!$A$1:$A$1001,customers!$G$1:$G$1001,,0)</f>
        <v>United States</v>
      </c>
      <c r="I710" t="str">
        <f>INDEX(products!$A$1:$G$49,MATCH(orders!$D710, products!$A$1:$A$49,0), MATCH(orders!I$1,products!$A$1:$G$1,0))</f>
        <v>Ara</v>
      </c>
      <c r="J710" t="str">
        <f>INDEX(products!$A$1:$G$49,MATCH(orders!$D710, products!$A$1:$A$49,0), MATCH(orders!J$1,products!$A$1:$G$1,0))</f>
        <v>M</v>
      </c>
      <c r="K710" s="4">
        <f>INDEX(products!$A$1:$G$49,MATCH(orders!$D710, products!$A$1:$A$49,0), MATCH(orders!K$1,products!$A$1:$G$1,0))</f>
        <v>0.5</v>
      </c>
      <c r="L710" s="5">
        <f>INDEX(products!$A$1:$G$49,MATCH(orders!$D710, products!$A$1:$A$49,0), MATCH(orders!L$1,products!$A$1:$G$1,0))</f>
        <v>6.75</v>
      </c>
      <c r="M710" s="5">
        <f t="shared" si="33"/>
        <v>13.5</v>
      </c>
      <c r="N710" t="str">
        <f t="shared" si="34"/>
        <v>Arabica</v>
      </c>
      <c r="O710" t="str">
        <f t="shared" si="35"/>
        <v>Medium</v>
      </c>
      <c r="P710" t="str">
        <f>_xlfn.XLOOKUP(Table1[[#This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IF(_xlfn.XLOOKUP(C711,customers!$A$1:$A$1001,customers!C710:C1710,,0)=0,"",_xlfn.XLOOKUP(C711,customers!$A$1:$A$1001,customers!C710:C1710,,0))</f>
        <v/>
      </c>
      <c r="H711" s="2" t="str">
        <f>_xlfn.XLOOKUP(orders!C711,customers!$A$1:$A$1001,customers!$G$1:$G$1001,,0)</f>
        <v>United States</v>
      </c>
      <c r="I711" t="str">
        <f>INDEX(products!$A$1:$G$49,MATCH(orders!$D711, products!$A$1:$A$49,0), MATCH(orders!I$1,products!$A$1:$G$1,0))</f>
        <v>Exc</v>
      </c>
      <c r="J711" t="str">
        <f>INDEX(products!$A$1:$G$49,MATCH(orders!$D711, products!$A$1:$A$49,0), MATCH(orders!J$1,products!$A$1:$G$1,0))</f>
        <v>L</v>
      </c>
      <c r="K711" s="4">
        <f>INDEX(products!$A$1:$G$49,MATCH(orders!$D711, products!$A$1:$A$49,0), MATCH(orders!K$1,products!$A$1:$G$1,0))</f>
        <v>0.5</v>
      </c>
      <c r="L711" s="5">
        <f>INDEX(products!$A$1:$G$49,MATCH(orders!$D711, products!$A$1:$A$49,0), MATCH(orders!L$1,products!$A$1:$G$1,0))</f>
        <v>8.91</v>
      </c>
      <c r="M711" s="5">
        <f t="shared" si="33"/>
        <v>17.82</v>
      </c>
      <c r="N711" t="str">
        <f t="shared" si="34"/>
        <v>Excelsa</v>
      </c>
      <c r="O711" t="str">
        <f t="shared" si="35"/>
        <v>Light</v>
      </c>
      <c r="P711" t="str">
        <f>_xlfn.XLOOKUP(Table1[[#This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IF(_xlfn.XLOOKUP(C712,customers!$A$1:$A$1001,customers!C711:C1711,,0)=0,"",_xlfn.XLOOKUP(C712,customers!$A$1:$A$1001,customers!C711:C1711,,0))</f>
        <v/>
      </c>
      <c r="H712" s="2" t="str">
        <f>_xlfn.XLOOKUP(orders!C712,customers!$A$1:$A$1001,customers!$G$1:$G$1001,,0)</f>
        <v>United States</v>
      </c>
      <c r="I712" t="str">
        <f>INDEX(products!$A$1:$G$49,MATCH(orders!$D712, products!$A$1:$A$49,0), MATCH(orders!I$1,products!$A$1:$G$1,0))</f>
        <v>Exc</v>
      </c>
      <c r="J712" t="str">
        <f>INDEX(products!$A$1:$G$49,MATCH(orders!$D712, products!$A$1:$A$49,0), MATCH(orders!J$1,products!$A$1:$G$1,0))</f>
        <v>M</v>
      </c>
      <c r="K712" s="4">
        <f>INDEX(products!$A$1:$G$49,MATCH(orders!$D712, products!$A$1:$A$49,0), MATCH(orders!K$1,products!$A$1:$G$1,0))</f>
        <v>0.5</v>
      </c>
      <c r="L712" s="5">
        <f>INDEX(products!$A$1:$G$49,MATCH(orders!$D712, products!$A$1:$A$49,0), MATCH(orders!L$1,products!$A$1:$G$1,0))</f>
        <v>8.25</v>
      </c>
      <c r="M712" s="5">
        <f t="shared" si="33"/>
        <v>24.75</v>
      </c>
      <c r="N712" t="str">
        <f t="shared" si="34"/>
        <v>Excelsa</v>
      </c>
      <c r="O712" t="str">
        <f t="shared" si="35"/>
        <v>Medium</v>
      </c>
      <c r="P712" t="str">
        <f>_xlfn.XLOOKUP(Table1[[#This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IF(_xlfn.XLOOKUP(C713,customers!$A$1:$A$1001,customers!C712:C1712,,0)=0,"",_xlfn.XLOOKUP(C713,customers!$A$1:$A$1001,customers!C712:C1712,,0))</f>
        <v/>
      </c>
      <c r="H713" s="2" t="str">
        <f>_xlfn.XLOOKUP(orders!C713,customers!$A$1:$A$1001,customers!$G$1:$G$1001,,0)</f>
        <v>United States</v>
      </c>
      <c r="I713" t="str">
        <f>INDEX(products!$A$1:$G$49,MATCH(orders!$D713, products!$A$1:$A$49,0), MATCH(orders!I$1,products!$A$1:$G$1,0))</f>
        <v>Rob</v>
      </c>
      <c r="J713" t="str">
        <f>INDEX(products!$A$1:$G$49,MATCH(orders!$D713, products!$A$1:$A$49,0), MATCH(orders!J$1,products!$A$1:$G$1,0))</f>
        <v>M</v>
      </c>
      <c r="K713" s="4">
        <f>INDEX(products!$A$1:$G$49,MATCH(orders!$D713, products!$A$1:$A$49,0), MATCH(orders!K$1,products!$A$1:$G$1,0))</f>
        <v>0.2</v>
      </c>
      <c r="L713" s="5">
        <f>INDEX(products!$A$1:$G$49,MATCH(orders!$D713, products!$A$1:$A$49,0), MATCH(orders!L$1,products!$A$1:$G$1,0))</f>
        <v>2.9849999999999999</v>
      </c>
      <c r="M713" s="5">
        <f t="shared" si="33"/>
        <v>17.91</v>
      </c>
      <c r="N713" t="str">
        <f t="shared" si="34"/>
        <v>Robusta</v>
      </c>
      <c r="O713" t="str">
        <f t="shared" si="35"/>
        <v>Medium</v>
      </c>
      <c r="P713" t="str">
        <f>_xlfn.XLOOKUP(Table1[[#This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IF(_xlfn.XLOOKUP(C714,customers!$A$1:$A$1001,customers!C713:C1713,,0)=0,"",_xlfn.XLOOKUP(C714,customers!$A$1:$A$1001,customers!C713:C1713,,0))</f>
        <v/>
      </c>
      <c r="H714" s="2" t="str">
        <f>_xlfn.XLOOKUP(orders!C714,customers!$A$1:$A$1001,customers!$G$1:$G$1001,,0)</f>
        <v>United Kingdom</v>
      </c>
      <c r="I714" t="str">
        <f>INDEX(products!$A$1:$G$49,MATCH(orders!$D714, products!$A$1:$A$49,0), MATCH(orders!I$1,products!$A$1:$G$1,0))</f>
        <v>Exc</v>
      </c>
      <c r="J714" t="str">
        <f>INDEX(products!$A$1:$G$49,MATCH(orders!$D714, products!$A$1:$A$49,0), MATCH(orders!J$1,products!$A$1:$G$1,0))</f>
        <v>M</v>
      </c>
      <c r="K714" s="4">
        <f>INDEX(products!$A$1:$G$49,MATCH(orders!$D714, products!$A$1:$A$49,0), MATCH(orders!K$1,products!$A$1:$G$1,0))</f>
        <v>0.5</v>
      </c>
      <c r="L714" s="5">
        <f>INDEX(products!$A$1:$G$49,MATCH(orders!$D714, products!$A$1:$A$49,0), MATCH(orders!L$1,products!$A$1:$G$1,0))</f>
        <v>8.25</v>
      </c>
      <c r="M714" s="5">
        <f t="shared" si="33"/>
        <v>16.5</v>
      </c>
      <c r="N714" t="str">
        <f t="shared" si="34"/>
        <v>Excelsa</v>
      </c>
      <c r="O714" t="str">
        <f t="shared" si="35"/>
        <v>Medium</v>
      </c>
      <c r="P714" t="str">
        <f>_xlfn.XLOOKUP(Table1[[#This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IF(_xlfn.XLOOKUP(C715,customers!$A$1:$A$1001,customers!C714:C1714,,0)=0,"",_xlfn.XLOOKUP(C715,customers!$A$1:$A$1001,customers!C714:C1714,,0))</f>
        <v/>
      </c>
      <c r="H715" s="2" t="str">
        <f>_xlfn.XLOOKUP(orders!C715,customers!$A$1:$A$1001,customers!$G$1:$G$1001,,0)</f>
        <v>United States</v>
      </c>
      <c r="I715" t="str">
        <f>INDEX(products!$A$1:$G$49,MATCH(orders!$D715, products!$A$1:$A$49,0), MATCH(orders!I$1,products!$A$1:$G$1,0))</f>
        <v>Rob</v>
      </c>
      <c r="J715" t="str">
        <f>INDEX(products!$A$1:$G$49,MATCH(orders!$D715, products!$A$1:$A$49,0), MATCH(orders!J$1,products!$A$1:$G$1,0))</f>
        <v>M</v>
      </c>
      <c r="K715" s="4">
        <f>INDEX(products!$A$1:$G$49,MATCH(orders!$D715, products!$A$1:$A$49,0), MATCH(orders!K$1,products!$A$1:$G$1,0))</f>
        <v>0.2</v>
      </c>
      <c r="L715" s="5">
        <f>INDEX(products!$A$1:$G$49,MATCH(orders!$D715, products!$A$1:$A$49,0), MATCH(orders!L$1,products!$A$1:$G$1,0))</f>
        <v>2.9849999999999999</v>
      </c>
      <c r="M715" s="5">
        <f t="shared" si="33"/>
        <v>2.9849999999999999</v>
      </c>
      <c r="N715" t="str">
        <f t="shared" si="34"/>
        <v>Robusta</v>
      </c>
      <c r="O715" t="str">
        <f t="shared" si="35"/>
        <v>Medium</v>
      </c>
      <c r="P715" t="str">
        <f>_xlfn.XLOOKUP(Table1[[#This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IF(_xlfn.XLOOKUP(C716,customers!$A$1:$A$1001,customers!C715:C1715,,0)=0,"",_xlfn.XLOOKUP(C716,customers!$A$1:$A$1001,customers!C715:C1715,,0))</f>
        <v/>
      </c>
      <c r="H716" s="2" t="str">
        <f>_xlfn.XLOOKUP(orders!C716,customers!$A$1:$A$1001,customers!$G$1:$G$1001,,0)</f>
        <v>Ireland</v>
      </c>
      <c r="I716" t="str">
        <f>INDEX(products!$A$1:$G$49,MATCH(orders!$D716, products!$A$1:$A$49,0), MATCH(orders!I$1,products!$A$1:$G$1,0))</f>
        <v>Exc</v>
      </c>
      <c r="J716" t="str">
        <f>INDEX(products!$A$1:$G$49,MATCH(orders!$D716, products!$A$1:$A$49,0), MATCH(orders!J$1,products!$A$1:$G$1,0))</f>
        <v>D</v>
      </c>
      <c r="K716" s="4">
        <f>INDEX(products!$A$1:$G$49,MATCH(orders!$D716, products!$A$1:$A$49,0), MATCH(orders!K$1,products!$A$1:$G$1,0))</f>
        <v>0.2</v>
      </c>
      <c r="L716" s="5">
        <f>INDEX(products!$A$1:$G$49,MATCH(orders!$D716, products!$A$1:$A$49,0), MATCH(orders!L$1,products!$A$1:$G$1,0))</f>
        <v>3.645</v>
      </c>
      <c r="M716" s="5">
        <f t="shared" si="33"/>
        <v>14.58</v>
      </c>
      <c r="N716" t="str">
        <f t="shared" si="34"/>
        <v>Excelsa</v>
      </c>
      <c r="O716" t="str">
        <f t="shared" si="35"/>
        <v>Dark</v>
      </c>
      <c r="P716" t="str">
        <f>_xlfn.XLOOKUP(Table1[[#This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IF(_xlfn.XLOOKUP(C717,customers!$A$1:$A$1001,customers!C716:C1716,,0)=0,"",_xlfn.XLOOKUP(C717,customers!$A$1:$A$1001,customers!C716:C1716,,0))</f>
        <v/>
      </c>
      <c r="H717" s="2" t="str">
        <f>_xlfn.XLOOKUP(orders!C717,customers!$A$1:$A$1001,customers!$G$1:$G$1001,,0)</f>
        <v>United States</v>
      </c>
      <c r="I717" t="str">
        <f>INDEX(products!$A$1:$G$49,MATCH(orders!$D717, products!$A$1:$A$49,0), MATCH(orders!I$1,products!$A$1:$G$1,0))</f>
        <v>Exc</v>
      </c>
      <c r="J717" t="str">
        <f>INDEX(products!$A$1:$G$49,MATCH(orders!$D717, products!$A$1:$A$49,0), MATCH(orders!J$1,products!$A$1:$G$1,0))</f>
        <v>L</v>
      </c>
      <c r="K717" s="4">
        <f>INDEX(products!$A$1:$G$49,MATCH(orders!$D717, products!$A$1:$A$49,0), MATCH(orders!K$1,products!$A$1:$G$1,0))</f>
        <v>1</v>
      </c>
      <c r="L717" s="5">
        <f>INDEX(products!$A$1:$G$49,MATCH(orders!$D717, products!$A$1:$A$49,0), MATCH(orders!L$1,products!$A$1:$G$1,0))</f>
        <v>14.85</v>
      </c>
      <c r="M717" s="5">
        <f t="shared" si="33"/>
        <v>89.1</v>
      </c>
      <c r="N717" t="str">
        <f t="shared" si="34"/>
        <v>Excelsa</v>
      </c>
      <c r="O717" t="str">
        <f t="shared" si="35"/>
        <v>Light</v>
      </c>
      <c r="P717" t="str">
        <f>_xlfn.XLOOKUP(Table1[[#This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IF(_xlfn.XLOOKUP(C718,customers!$A$1:$A$1001,customers!C717:C1717,,0)=0,"",_xlfn.XLOOKUP(C718,customers!$A$1:$A$1001,customers!C717:C1717,,0))</f>
        <v/>
      </c>
      <c r="H718" s="2" t="str">
        <f>_xlfn.XLOOKUP(orders!C718,customers!$A$1:$A$1001,customers!$G$1:$G$1001,,0)</f>
        <v>Ireland</v>
      </c>
      <c r="I718" t="str">
        <f>INDEX(products!$A$1:$G$49,MATCH(orders!$D718, products!$A$1:$A$49,0), MATCH(orders!I$1,products!$A$1:$G$1,0))</f>
        <v>Rob</v>
      </c>
      <c r="J718" t="str">
        <f>INDEX(products!$A$1:$G$49,MATCH(orders!$D718, products!$A$1:$A$49,0), MATCH(orders!J$1,products!$A$1:$G$1,0))</f>
        <v>L</v>
      </c>
      <c r="K718" s="4">
        <f>INDEX(products!$A$1:$G$49,MATCH(orders!$D718, products!$A$1:$A$49,0), MATCH(orders!K$1,products!$A$1:$G$1,0))</f>
        <v>1</v>
      </c>
      <c r="L718" s="5">
        <f>INDEX(products!$A$1:$G$49,MATCH(orders!$D718, products!$A$1:$A$49,0), MATCH(orders!L$1,products!$A$1:$G$1,0))</f>
        <v>11.95</v>
      </c>
      <c r="M718" s="5">
        <f t="shared" si="33"/>
        <v>35.849999999999994</v>
      </c>
      <c r="N718" t="str">
        <f t="shared" si="34"/>
        <v>Robusta</v>
      </c>
      <c r="O718" t="str">
        <f t="shared" si="35"/>
        <v>Light</v>
      </c>
      <c r="P718" t="str">
        <f>_xlfn.XLOOKUP(Table1[[#This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IF(_xlfn.XLOOKUP(C719,customers!$A$1:$A$1001,customers!C718:C1718,,0)=0,"",_xlfn.XLOOKUP(C719,customers!$A$1:$A$1001,customers!C718:C1718,,0))</f>
        <v/>
      </c>
      <c r="H719" s="2" t="str">
        <f>_xlfn.XLOOKUP(orders!C719,customers!$A$1:$A$1001,customers!$G$1:$G$1001,,0)</f>
        <v>United States</v>
      </c>
      <c r="I719" t="str">
        <f>INDEX(products!$A$1:$G$49,MATCH(orders!$D719, products!$A$1:$A$49,0), MATCH(orders!I$1,products!$A$1:$G$1,0))</f>
        <v>Ara</v>
      </c>
      <c r="J719" t="str">
        <f>INDEX(products!$A$1:$G$49,MATCH(orders!$D719, products!$A$1:$A$49,0), MATCH(orders!J$1,products!$A$1:$G$1,0))</f>
        <v>D</v>
      </c>
      <c r="K719" s="4">
        <f>INDEX(products!$A$1:$G$49,MATCH(orders!$D719, products!$A$1:$A$49,0), MATCH(orders!K$1,products!$A$1:$G$1,0))</f>
        <v>2.5</v>
      </c>
      <c r="L719" s="5">
        <f>INDEX(products!$A$1:$G$49,MATCH(orders!$D719, products!$A$1:$A$49,0), MATCH(orders!L$1,products!$A$1:$G$1,0))</f>
        <v>22.884999999999998</v>
      </c>
      <c r="M719" s="5">
        <f t="shared" si="33"/>
        <v>68.655000000000001</v>
      </c>
      <c r="N719" t="str">
        <f t="shared" si="34"/>
        <v>Arabica</v>
      </c>
      <c r="O719" t="str">
        <f t="shared" si="35"/>
        <v>Dark</v>
      </c>
      <c r="P719" t="str">
        <f>_xlfn.XLOOKUP(Table1[[#This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IF(_xlfn.XLOOKUP(C720,customers!$A$1:$A$1001,customers!C719:C1719,,0)=0,"",_xlfn.XLOOKUP(C720,customers!$A$1:$A$1001,customers!C719:C1719,,0))</f>
        <v/>
      </c>
      <c r="H720" s="2" t="str">
        <f>_xlfn.XLOOKUP(orders!C720,customers!$A$1:$A$1001,customers!$G$1:$G$1001,,0)</f>
        <v>United States</v>
      </c>
      <c r="I720" t="str">
        <f>INDEX(products!$A$1:$G$49,MATCH(orders!$D720, products!$A$1:$A$49,0), MATCH(orders!I$1,products!$A$1:$G$1,0))</f>
        <v>Lib</v>
      </c>
      <c r="J720" t="str">
        <f>INDEX(products!$A$1:$G$49,MATCH(orders!$D720, products!$A$1:$A$49,0), MATCH(orders!J$1,products!$A$1:$G$1,0))</f>
        <v>D</v>
      </c>
      <c r="K720" s="4">
        <f>INDEX(products!$A$1:$G$49,MATCH(orders!$D720, products!$A$1:$A$49,0), MATCH(orders!K$1,products!$A$1:$G$1,0))</f>
        <v>1</v>
      </c>
      <c r="L720" s="5">
        <f>INDEX(products!$A$1:$G$49,MATCH(orders!$D720, products!$A$1:$A$49,0), MATCH(orders!L$1,products!$A$1:$G$1,0))</f>
        <v>12.95</v>
      </c>
      <c r="M720" s="5">
        <f t="shared" si="33"/>
        <v>38.849999999999994</v>
      </c>
      <c r="N720" t="str">
        <f t="shared" si="34"/>
        <v>Liberica</v>
      </c>
      <c r="O720" t="str">
        <f t="shared" si="35"/>
        <v>Dark</v>
      </c>
      <c r="P720" t="str">
        <f>_xlfn.XLOOKUP(Table1[[#This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IF(_xlfn.XLOOKUP(C721,customers!$A$1:$A$1001,customers!C720:C1720,,0)=0,"",_xlfn.XLOOKUP(C721,customers!$A$1:$A$1001,customers!C720:C1720,,0))</f>
        <v/>
      </c>
      <c r="H721" s="2" t="str">
        <f>_xlfn.XLOOKUP(orders!C721,customers!$A$1:$A$1001,customers!$G$1:$G$1001,,0)</f>
        <v>United States</v>
      </c>
      <c r="I721" t="str">
        <f>INDEX(products!$A$1:$G$49,MATCH(orders!$D721, products!$A$1:$A$49,0), MATCH(orders!I$1,products!$A$1:$G$1,0))</f>
        <v>Lib</v>
      </c>
      <c r="J721" t="str">
        <f>INDEX(products!$A$1:$G$49,MATCH(orders!$D721, products!$A$1:$A$49,0), MATCH(orders!J$1,products!$A$1:$G$1,0))</f>
        <v>L</v>
      </c>
      <c r="K721" s="4">
        <f>INDEX(products!$A$1:$G$49,MATCH(orders!$D721, products!$A$1:$A$49,0), MATCH(orders!K$1,products!$A$1:$G$1,0))</f>
        <v>1</v>
      </c>
      <c r="L721" s="5">
        <f>INDEX(products!$A$1:$G$49,MATCH(orders!$D721, products!$A$1:$A$49,0), MATCH(orders!L$1,products!$A$1:$G$1,0))</f>
        <v>15.85</v>
      </c>
      <c r="M721" s="5">
        <f t="shared" si="33"/>
        <v>79.25</v>
      </c>
      <c r="N721" t="str">
        <f t="shared" si="34"/>
        <v>Liberica</v>
      </c>
      <c r="O721" t="str">
        <f t="shared" si="35"/>
        <v>Light</v>
      </c>
      <c r="P721" t="str">
        <f>_xlfn.XLOOKUP(Table1[[#This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IF(_xlfn.XLOOKUP(C722,customers!$A$1:$A$1001,customers!C721:C1721,,0)=0,"",_xlfn.XLOOKUP(C722,customers!$A$1:$A$1001,customers!C721:C1721,,0))</f>
        <v/>
      </c>
      <c r="H722" s="2" t="str">
        <f>_xlfn.XLOOKUP(orders!C722,customers!$A$1:$A$1001,customers!$G$1:$G$1001,,0)</f>
        <v>United States</v>
      </c>
      <c r="I722" t="str">
        <f>INDEX(products!$A$1:$G$49,MATCH(orders!$D722, products!$A$1:$A$49,0), MATCH(orders!I$1,products!$A$1:$G$1,0))</f>
        <v>Exc</v>
      </c>
      <c r="J722" t="str">
        <f>INDEX(products!$A$1:$G$49,MATCH(orders!$D722, products!$A$1:$A$49,0), MATCH(orders!J$1,products!$A$1:$G$1,0))</f>
        <v>D</v>
      </c>
      <c r="K722" s="4">
        <f>INDEX(products!$A$1:$G$49,MATCH(orders!$D722, products!$A$1:$A$49,0), MATCH(orders!K$1,products!$A$1:$G$1,0))</f>
        <v>0.5</v>
      </c>
      <c r="L722" s="5">
        <f>INDEX(products!$A$1:$G$49,MATCH(orders!$D722, products!$A$1:$A$49,0), MATCH(orders!L$1,products!$A$1:$G$1,0))</f>
        <v>7.29</v>
      </c>
      <c r="M722" s="5">
        <f t="shared" si="33"/>
        <v>36.450000000000003</v>
      </c>
      <c r="N722" t="str">
        <f t="shared" si="34"/>
        <v>Excelsa</v>
      </c>
      <c r="O722" t="str">
        <f t="shared" si="35"/>
        <v>Dark</v>
      </c>
      <c r="P722" t="str">
        <f>_xlfn.XLOOKUP(Table1[[#This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IF(_xlfn.XLOOKUP(C723,customers!$A$1:$A$1001,customers!C722:C1722,,0)=0,"",_xlfn.XLOOKUP(C723,customers!$A$1:$A$1001,customers!C722:C1722,,0))</f>
        <v/>
      </c>
      <c r="H723" s="2" t="str">
        <f>_xlfn.XLOOKUP(orders!C723,customers!$A$1:$A$1001,customers!$G$1:$G$1001,,0)</f>
        <v>United States</v>
      </c>
      <c r="I723" t="str">
        <f>INDEX(products!$A$1:$G$49,MATCH(orders!$D723, products!$A$1:$A$49,0), MATCH(orders!I$1,products!$A$1:$G$1,0))</f>
        <v>Rob</v>
      </c>
      <c r="J723" t="str">
        <f>INDEX(products!$A$1:$G$49,MATCH(orders!$D723, products!$A$1:$A$49,0), MATCH(orders!J$1,products!$A$1:$G$1,0))</f>
        <v>M</v>
      </c>
      <c r="K723" s="4">
        <f>INDEX(products!$A$1:$G$49,MATCH(orders!$D723, products!$A$1:$A$49,0), MATCH(orders!K$1,products!$A$1:$G$1,0))</f>
        <v>0.2</v>
      </c>
      <c r="L723" s="5">
        <f>INDEX(products!$A$1:$G$49,MATCH(orders!$D723, products!$A$1:$A$49,0), MATCH(orders!L$1,products!$A$1:$G$1,0))</f>
        <v>2.9849999999999999</v>
      </c>
      <c r="M723" s="5">
        <f t="shared" si="33"/>
        <v>8.9550000000000001</v>
      </c>
      <c r="N723" t="str">
        <f t="shared" si="34"/>
        <v>Robusta</v>
      </c>
      <c r="O723" t="str">
        <f t="shared" si="35"/>
        <v>Medium</v>
      </c>
      <c r="P723" t="str">
        <f>_xlfn.XLOOKUP(Table1[[#This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IF(_xlfn.XLOOKUP(C724,customers!$A$1:$A$1001,customers!C723:C1723,,0)=0,"",_xlfn.XLOOKUP(C724,customers!$A$1:$A$1001,customers!C723:C1723,,0))</f>
        <v/>
      </c>
      <c r="H724" s="2" t="str">
        <f>_xlfn.XLOOKUP(orders!C724,customers!$A$1:$A$1001,customers!$G$1:$G$1001,,0)</f>
        <v>United States</v>
      </c>
      <c r="I724" t="str">
        <f>INDEX(products!$A$1:$G$49,MATCH(orders!$D724, products!$A$1:$A$49,0), MATCH(orders!I$1,products!$A$1:$G$1,0))</f>
        <v>Exc</v>
      </c>
      <c r="J724" t="str">
        <f>INDEX(products!$A$1:$G$49,MATCH(orders!$D724, products!$A$1:$A$49,0), MATCH(orders!J$1,products!$A$1:$G$1,0))</f>
        <v>D</v>
      </c>
      <c r="K724" s="4">
        <f>INDEX(products!$A$1:$G$49,MATCH(orders!$D724, products!$A$1:$A$49,0), MATCH(orders!K$1,products!$A$1:$G$1,0))</f>
        <v>1</v>
      </c>
      <c r="L724" s="5">
        <f>INDEX(products!$A$1:$G$49,MATCH(orders!$D724, products!$A$1:$A$49,0), MATCH(orders!L$1,products!$A$1:$G$1,0))</f>
        <v>12.15</v>
      </c>
      <c r="M724" s="5">
        <f t="shared" si="33"/>
        <v>24.3</v>
      </c>
      <c r="N724" t="str">
        <f t="shared" si="34"/>
        <v>Excelsa</v>
      </c>
      <c r="O724" t="str">
        <f t="shared" si="35"/>
        <v>Dark</v>
      </c>
      <c r="P724" t="str">
        <f>_xlfn.XLOOKUP(Table1[[#This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IF(_xlfn.XLOOKUP(C725,customers!$A$1:$A$1001,customers!C724:C1724,,0)=0,"",_xlfn.XLOOKUP(C725,customers!$A$1:$A$1001,customers!C724:C1724,,0))</f>
        <v/>
      </c>
      <c r="H725" s="2" t="str">
        <f>_xlfn.XLOOKUP(orders!C725,customers!$A$1:$A$1001,customers!$G$1:$G$1001,,0)</f>
        <v>United States</v>
      </c>
      <c r="I725" t="str">
        <f>INDEX(products!$A$1:$G$49,MATCH(orders!$D725, products!$A$1:$A$49,0), MATCH(orders!I$1,products!$A$1:$G$1,0))</f>
        <v>Exc</v>
      </c>
      <c r="J725" t="str">
        <f>INDEX(products!$A$1:$G$49,MATCH(orders!$D725, products!$A$1:$A$49,0), MATCH(orders!J$1,products!$A$1:$G$1,0))</f>
        <v>M</v>
      </c>
      <c r="K725" s="4">
        <f>INDEX(products!$A$1:$G$49,MATCH(orders!$D725, products!$A$1:$A$49,0), MATCH(orders!K$1,products!$A$1:$G$1,0))</f>
        <v>2.5</v>
      </c>
      <c r="L725" s="5">
        <f>INDEX(products!$A$1:$G$49,MATCH(orders!$D725, products!$A$1:$A$49,0), MATCH(orders!L$1,products!$A$1:$G$1,0))</f>
        <v>31.624999999999996</v>
      </c>
      <c r="M725" s="5">
        <f t="shared" si="33"/>
        <v>63.249999999999993</v>
      </c>
      <c r="N725" t="str">
        <f t="shared" si="34"/>
        <v>Excelsa</v>
      </c>
      <c r="O725" t="str">
        <f t="shared" si="35"/>
        <v>Medium</v>
      </c>
      <c r="P725" t="str">
        <f>_xlfn.XLOOKUP(Table1[[#This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IF(_xlfn.XLOOKUP(C726,customers!$A$1:$A$1001,customers!C725:C1725,,0)=0,"",_xlfn.XLOOKUP(C726,customers!$A$1:$A$1001,customers!C725:C1725,,0))</f>
        <v/>
      </c>
      <c r="H726" s="2" t="str">
        <f>_xlfn.XLOOKUP(orders!C726,customers!$A$1:$A$1001,customers!$G$1:$G$1001,,0)</f>
        <v>United States</v>
      </c>
      <c r="I726" t="str">
        <f>INDEX(products!$A$1:$G$49,MATCH(orders!$D726, products!$A$1:$A$49,0), MATCH(orders!I$1,products!$A$1:$G$1,0))</f>
        <v>Ara</v>
      </c>
      <c r="J726" t="str">
        <f>INDEX(products!$A$1:$G$49,MATCH(orders!$D726, products!$A$1:$A$49,0), MATCH(orders!J$1,products!$A$1:$G$1,0))</f>
        <v>M</v>
      </c>
      <c r="K726" s="4">
        <f>INDEX(products!$A$1:$G$49,MATCH(orders!$D726, products!$A$1:$A$49,0), MATCH(orders!K$1,products!$A$1:$G$1,0))</f>
        <v>0.2</v>
      </c>
      <c r="L726" s="5">
        <f>INDEX(products!$A$1:$G$49,MATCH(orders!$D726, products!$A$1:$A$49,0), MATCH(orders!L$1,products!$A$1:$G$1,0))</f>
        <v>3.375</v>
      </c>
      <c r="M726" s="5">
        <f t="shared" si="33"/>
        <v>6.75</v>
      </c>
      <c r="N726" t="str">
        <f t="shared" si="34"/>
        <v>Arabica</v>
      </c>
      <c r="O726" t="str">
        <f t="shared" si="35"/>
        <v>Medium</v>
      </c>
      <c r="P726" t="str">
        <f>_xlfn.XLOOKUP(Table1[[#This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IF(_xlfn.XLOOKUP(C727,customers!$A$1:$A$1001,customers!C726:C1726,,0)=0,"",_xlfn.XLOOKUP(C727,customers!$A$1:$A$1001,customers!C726:C1726,,0))</f>
        <v/>
      </c>
      <c r="H727" s="2" t="str">
        <f>_xlfn.XLOOKUP(orders!C727,customers!$A$1:$A$1001,customers!$G$1:$G$1001,,0)</f>
        <v>United States</v>
      </c>
      <c r="I727" t="str">
        <f>INDEX(products!$A$1:$G$49,MATCH(orders!$D727, products!$A$1:$A$49,0), MATCH(orders!I$1,products!$A$1:$G$1,0))</f>
        <v>Ara</v>
      </c>
      <c r="J727" t="str">
        <f>INDEX(products!$A$1:$G$49,MATCH(orders!$D727, products!$A$1:$A$49,0), MATCH(orders!J$1,products!$A$1:$G$1,0))</f>
        <v>L</v>
      </c>
      <c r="K727" s="4">
        <f>INDEX(products!$A$1:$G$49,MATCH(orders!$D727, products!$A$1:$A$49,0), MATCH(orders!K$1,products!$A$1:$G$1,0))</f>
        <v>0.2</v>
      </c>
      <c r="L727" s="5">
        <f>INDEX(products!$A$1:$G$49,MATCH(orders!$D727, products!$A$1:$A$49,0), MATCH(orders!L$1,products!$A$1:$G$1,0))</f>
        <v>3.8849999999999998</v>
      </c>
      <c r="M727" s="5">
        <f t="shared" si="33"/>
        <v>23.31</v>
      </c>
      <c r="N727" t="str">
        <f t="shared" si="34"/>
        <v>Arabica</v>
      </c>
      <c r="O727" t="str">
        <f t="shared" si="35"/>
        <v>Light</v>
      </c>
      <c r="P727" t="str">
        <f>_xlfn.XLOOKUP(Table1[[#This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IF(_xlfn.XLOOKUP(C728,customers!$A$1:$A$1001,customers!C727:C1727,,0)=0,"",_xlfn.XLOOKUP(C728,customers!$A$1:$A$1001,customers!C727:C1727,,0))</f>
        <v/>
      </c>
      <c r="H728" s="2" t="str">
        <f>_xlfn.XLOOKUP(orders!C728,customers!$A$1:$A$1001,customers!$G$1:$G$1001,,0)</f>
        <v>United States</v>
      </c>
      <c r="I728" t="str">
        <f>INDEX(products!$A$1:$G$49,MATCH(orders!$D728, products!$A$1:$A$49,0), MATCH(orders!I$1,products!$A$1:$G$1,0))</f>
        <v>Lib</v>
      </c>
      <c r="J728" t="str">
        <f>INDEX(products!$A$1:$G$49,MATCH(orders!$D728, products!$A$1:$A$49,0), MATCH(orders!J$1,products!$A$1:$G$1,0))</f>
        <v>L</v>
      </c>
      <c r="K728" s="4">
        <f>INDEX(products!$A$1:$G$49,MATCH(orders!$D728, products!$A$1:$A$49,0), MATCH(orders!K$1,products!$A$1:$G$1,0))</f>
        <v>2.5</v>
      </c>
      <c r="L728" s="5">
        <f>INDEX(products!$A$1:$G$49,MATCH(orders!$D728, products!$A$1:$A$49,0), MATCH(orders!L$1,products!$A$1:$G$1,0))</f>
        <v>36.454999999999998</v>
      </c>
      <c r="M728" s="5">
        <f t="shared" si="33"/>
        <v>145.82</v>
      </c>
      <c r="N728" t="str">
        <f t="shared" si="34"/>
        <v>Liberica</v>
      </c>
      <c r="O728" t="str">
        <f t="shared" si="35"/>
        <v>Light</v>
      </c>
      <c r="P728" t="str">
        <f>_xlfn.XLOOKUP(Table1[[#This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IF(_xlfn.XLOOKUP(C729,customers!$A$1:$A$1001,customers!C728:C1728,,0)=0,"",_xlfn.XLOOKUP(C729,customers!$A$1:$A$1001,customers!C728:C1728,,0))</f>
        <v/>
      </c>
      <c r="H729" s="2" t="str">
        <f>_xlfn.XLOOKUP(orders!C729,customers!$A$1:$A$1001,customers!$G$1:$G$1001,,0)</f>
        <v>Ireland</v>
      </c>
      <c r="I729" t="str">
        <f>INDEX(products!$A$1:$G$49,MATCH(orders!$D729, products!$A$1:$A$49,0), MATCH(orders!I$1,products!$A$1:$G$1,0))</f>
        <v>Rob</v>
      </c>
      <c r="J729" t="str">
        <f>INDEX(products!$A$1:$G$49,MATCH(orders!$D729, products!$A$1:$A$49,0), MATCH(orders!J$1,products!$A$1:$G$1,0))</f>
        <v>M</v>
      </c>
      <c r="K729" s="4">
        <f>INDEX(products!$A$1:$G$49,MATCH(orders!$D729, products!$A$1:$A$49,0), MATCH(orders!K$1,products!$A$1:$G$1,0))</f>
        <v>0.5</v>
      </c>
      <c r="L729" s="5">
        <f>INDEX(products!$A$1:$G$49,MATCH(orders!$D729, products!$A$1:$A$49,0), MATCH(orders!L$1,products!$A$1:$G$1,0))</f>
        <v>5.97</v>
      </c>
      <c r="M729" s="5">
        <f t="shared" si="33"/>
        <v>29.849999999999998</v>
      </c>
      <c r="N729" t="str">
        <f t="shared" si="34"/>
        <v>Robusta</v>
      </c>
      <c r="O729" t="str">
        <f t="shared" si="35"/>
        <v>Medium</v>
      </c>
      <c r="P729" t="str">
        <f>_xlfn.XLOOKUP(Table1[[#This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IF(_xlfn.XLOOKUP(C730,customers!$A$1:$A$1001,customers!C729:C1729,,0)=0,"",_xlfn.XLOOKUP(C730,customers!$A$1:$A$1001,customers!C729:C1729,,0))</f>
        <v/>
      </c>
      <c r="H730" s="2" t="str">
        <f>_xlfn.XLOOKUP(orders!C730,customers!$A$1:$A$1001,customers!$G$1:$G$1001,,0)</f>
        <v>United States</v>
      </c>
      <c r="I730" t="str">
        <f>INDEX(products!$A$1:$G$49,MATCH(orders!$D730, products!$A$1:$A$49,0), MATCH(orders!I$1,products!$A$1:$G$1,0))</f>
        <v>Exc</v>
      </c>
      <c r="J730" t="str">
        <f>INDEX(products!$A$1:$G$49,MATCH(orders!$D730, products!$A$1:$A$49,0), MATCH(orders!J$1,products!$A$1:$G$1,0))</f>
        <v>D</v>
      </c>
      <c r="K730" s="4">
        <f>INDEX(products!$A$1:$G$49,MATCH(orders!$D730, products!$A$1:$A$49,0), MATCH(orders!K$1,products!$A$1:$G$1,0))</f>
        <v>0.5</v>
      </c>
      <c r="L730" s="5">
        <f>INDEX(products!$A$1:$G$49,MATCH(orders!$D730, products!$A$1:$A$49,0), MATCH(orders!L$1,products!$A$1:$G$1,0))</f>
        <v>7.29</v>
      </c>
      <c r="M730" s="5">
        <f t="shared" si="33"/>
        <v>21.87</v>
      </c>
      <c r="N730" t="str">
        <f t="shared" si="34"/>
        <v>Excelsa</v>
      </c>
      <c r="O730" t="str">
        <f t="shared" si="35"/>
        <v>Dark</v>
      </c>
      <c r="P730" t="str">
        <f>_xlfn.XLOOKUP(Table1[[#This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IF(_xlfn.XLOOKUP(C731,customers!$A$1:$A$1001,customers!C730:C1730,,0)=0,"",_xlfn.XLOOKUP(C731,customers!$A$1:$A$1001,customers!C730:C1730,,0))</f>
        <v/>
      </c>
      <c r="H731" s="2" t="str">
        <f>_xlfn.XLOOKUP(orders!C731,customers!$A$1:$A$1001,customers!$G$1:$G$1001,,0)</f>
        <v>United Kingdom</v>
      </c>
      <c r="I731" t="str">
        <f>INDEX(products!$A$1:$G$49,MATCH(orders!$D731, products!$A$1:$A$49,0), MATCH(orders!I$1,products!$A$1:$G$1,0))</f>
        <v>Lib</v>
      </c>
      <c r="J731" t="str">
        <f>INDEX(products!$A$1:$G$49,MATCH(orders!$D731, products!$A$1:$A$49,0), MATCH(orders!J$1,products!$A$1:$G$1,0))</f>
        <v>M</v>
      </c>
      <c r="K731" s="4">
        <f>INDEX(products!$A$1:$G$49,MATCH(orders!$D731, products!$A$1:$A$49,0), MATCH(orders!K$1,products!$A$1:$G$1,0))</f>
        <v>0.2</v>
      </c>
      <c r="L731" s="5">
        <f>INDEX(products!$A$1:$G$49,MATCH(orders!$D731, products!$A$1:$A$49,0), MATCH(orders!L$1,products!$A$1:$G$1,0))</f>
        <v>4.3650000000000002</v>
      </c>
      <c r="M731" s="5">
        <f t="shared" si="33"/>
        <v>4.3650000000000002</v>
      </c>
      <c r="N731" t="str">
        <f t="shared" si="34"/>
        <v>Liberica</v>
      </c>
      <c r="O731" t="str">
        <f t="shared" si="35"/>
        <v>Medium</v>
      </c>
      <c r="P731" t="str">
        <f>_xlfn.XLOOKUP(Table1[[#This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IF(_xlfn.XLOOKUP(C732,customers!$A$1:$A$1001,customers!C731:C1731,,0)=0,"",_xlfn.XLOOKUP(C732,customers!$A$1:$A$1001,customers!C731:C1731,,0))</f>
        <v/>
      </c>
      <c r="H732" s="2" t="str">
        <f>_xlfn.XLOOKUP(orders!C732,customers!$A$1:$A$1001,customers!$G$1:$G$1001,,0)</f>
        <v>United States</v>
      </c>
      <c r="I732" t="str">
        <f>INDEX(products!$A$1:$G$49,MATCH(orders!$D732, products!$A$1:$A$49,0), MATCH(orders!I$1,products!$A$1:$G$1,0))</f>
        <v>Lib</v>
      </c>
      <c r="J732" t="str">
        <f>INDEX(products!$A$1:$G$49,MATCH(orders!$D732, products!$A$1:$A$49,0), MATCH(orders!J$1,products!$A$1:$G$1,0))</f>
        <v>L</v>
      </c>
      <c r="K732" s="4">
        <f>INDEX(products!$A$1:$G$49,MATCH(orders!$D732, products!$A$1:$A$49,0), MATCH(orders!K$1,products!$A$1:$G$1,0))</f>
        <v>2.5</v>
      </c>
      <c r="L732" s="5">
        <f>INDEX(products!$A$1:$G$49,MATCH(orders!$D732, products!$A$1:$A$49,0), MATCH(orders!L$1,products!$A$1:$G$1,0))</f>
        <v>36.454999999999998</v>
      </c>
      <c r="M732" s="5">
        <f t="shared" si="33"/>
        <v>36.454999999999998</v>
      </c>
      <c r="N732" t="str">
        <f t="shared" si="34"/>
        <v>Liberica</v>
      </c>
      <c r="O732" t="str">
        <f t="shared" si="35"/>
        <v>Light</v>
      </c>
      <c r="P732" t="str">
        <f>_xlfn.XLOOKUP(Table1[[#This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IF(_xlfn.XLOOKUP(C733,customers!$A$1:$A$1001,customers!C732:C1732,,0)=0,"",_xlfn.XLOOKUP(C733,customers!$A$1:$A$1001,customers!C732:C1732,,0))</f>
        <v/>
      </c>
      <c r="H733" s="2" t="str">
        <f>_xlfn.XLOOKUP(orders!C733,customers!$A$1:$A$1001,customers!$G$1:$G$1001,,0)</f>
        <v>United States</v>
      </c>
      <c r="I733" t="str">
        <f>INDEX(products!$A$1:$G$49,MATCH(orders!$D733, products!$A$1:$A$49,0), MATCH(orders!I$1,products!$A$1:$G$1,0))</f>
        <v>Lib</v>
      </c>
      <c r="J733" t="str">
        <f>INDEX(products!$A$1:$G$49,MATCH(orders!$D733, products!$A$1:$A$49,0), MATCH(orders!J$1,products!$A$1:$G$1,0))</f>
        <v>D</v>
      </c>
      <c r="K733" s="4">
        <f>INDEX(products!$A$1:$G$49,MATCH(orders!$D733, products!$A$1:$A$49,0), MATCH(orders!K$1,products!$A$1:$G$1,0))</f>
        <v>0.2</v>
      </c>
      <c r="L733" s="5">
        <f>INDEX(products!$A$1:$G$49,MATCH(orders!$D733, products!$A$1:$A$49,0), MATCH(orders!L$1,products!$A$1:$G$1,0))</f>
        <v>3.8849999999999998</v>
      </c>
      <c r="M733" s="5">
        <f t="shared" si="33"/>
        <v>15.54</v>
      </c>
      <c r="N733" t="str">
        <f t="shared" si="34"/>
        <v>Liberica</v>
      </c>
      <c r="O733" t="str">
        <f t="shared" si="35"/>
        <v>Dark</v>
      </c>
      <c r="P733" t="str">
        <f>_xlfn.XLOOKUP(Table1[[#This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IF(_xlfn.XLOOKUP(C734,customers!$A$1:$A$1001,customers!C733:C1733,,0)=0,"",_xlfn.XLOOKUP(C734,customers!$A$1:$A$1001,customers!C733:C1733,,0))</f>
        <v/>
      </c>
      <c r="H734" s="2" t="str">
        <f>_xlfn.XLOOKUP(orders!C734,customers!$A$1:$A$1001,customers!$G$1:$G$1001,,0)</f>
        <v>United States</v>
      </c>
      <c r="I734" t="str">
        <f>INDEX(products!$A$1:$G$49,MATCH(orders!$D734, products!$A$1:$A$49,0), MATCH(orders!I$1,products!$A$1:$G$1,0))</f>
        <v>Exc</v>
      </c>
      <c r="J734" t="str">
        <f>INDEX(products!$A$1:$G$49,MATCH(orders!$D734, products!$A$1:$A$49,0), MATCH(orders!J$1,products!$A$1:$G$1,0))</f>
        <v>L</v>
      </c>
      <c r="K734" s="4">
        <f>INDEX(products!$A$1:$G$49,MATCH(orders!$D734, products!$A$1:$A$49,0), MATCH(orders!K$1,products!$A$1:$G$1,0))</f>
        <v>0.2</v>
      </c>
      <c r="L734" s="5">
        <f>INDEX(products!$A$1:$G$49,MATCH(orders!$D734, products!$A$1:$A$49,0), MATCH(orders!L$1,products!$A$1:$G$1,0))</f>
        <v>4.4550000000000001</v>
      </c>
      <c r="M734" s="5">
        <f t="shared" si="33"/>
        <v>8.91</v>
      </c>
      <c r="N734" t="str">
        <f t="shared" si="34"/>
        <v>Excelsa</v>
      </c>
      <c r="O734" t="str">
        <f t="shared" si="35"/>
        <v>Light</v>
      </c>
      <c r="P734" t="str">
        <f>_xlfn.XLOOKUP(Table1[[#This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IF(_xlfn.XLOOKUP(C735,customers!$A$1:$A$1001,customers!C734:C1734,,0)=0,"",_xlfn.XLOOKUP(C735,customers!$A$1:$A$1001,customers!C734:C1734,,0))</f>
        <v/>
      </c>
      <c r="H735" s="2" t="str">
        <f>_xlfn.XLOOKUP(orders!C735,customers!$A$1:$A$1001,customers!$G$1:$G$1001,,0)</f>
        <v>United States</v>
      </c>
      <c r="I735" t="str">
        <f>INDEX(products!$A$1:$G$49,MATCH(orders!$D735, products!$A$1:$A$49,0), MATCH(orders!I$1,products!$A$1:$G$1,0))</f>
        <v>Lib</v>
      </c>
      <c r="J735" t="str">
        <f>INDEX(products!$A$1:$G$49,MATCH(orders!$D735, products!$A$1:$A$49,0), MATCH(orders!J$1,products!$A$1:$G$1,0))</f>
        <v>M</v>
      </c>
      <c r="K735" s="4">
        <f>INDEX(products!$A$1:$G$49,MATCH(orders!$D735, products!$A$1:$A$49,0), MATCH(orders!K$1,products!$A$1:$G$1,0))</f>
        <v>2.5</v>
      </c>
      <c r="L735" s="5">
        <f>INDEX(products!$A$1:$G$49,MATCH(orders!$D735, products!$A$1:$A$49,0), MATCH(orders!L$1,products!$A$1:$G$1,0))</f>
        <v>33.464999999999996</v>
      </c>
      <c r="M735" s="5">
        <f t="shared" si="33"/>
        <v>100.39499999999998</v>
      </c>
      <c r="N735" t="str">
        <f t="shared" si="34"/>
        <v>Liberica</v>
      </c>
      <c r="O735" t="str">
        <f t="shared" si="35"/>
        <v>Medium</v>
      </c>
      <c r="P735" t="str">
        <f>_xlfn.XLOOKUP(Table1[[#This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IF(_xlfn.XLOOKUP(C736,customers!$A$1:$A$1001,customers!C735:C1735,,0)=0,"",_xlfn.XLOOKUP(C736,customers!$A$1:$A$1001,customers!C735:C1735,,0))</f>
        <v/>
      </c>
      <c r="H736" s="2" t="str">
        <f>_xlfn.XLOOKUP(orders!C736,customers!$A$1:$A$1001,customers!$G$1:$G$1001,,0)</f>
        <v>United States</v>
      </c>
      <c r="I736" t="str">
        <f>INDEX(products!$A$1:$G$49,MATCH(orders!$D736, products!$A$1:$A$49,0), MATCH(orders!I$1,products!$A$1:$G$1,0))</f>
        <v>Rob</v>
      </c>
      <c r="J736" t="str">
        <f>INDEX(products!$A$1:$G$49,MATCH(orders!$D736, products!$A$1:$A$49,0), MATCH(orders!J$1,products!$A$1:$G$1,0))</f>
        <v>D</v>
      </c>
      <c r="K736" s="4">
        <f>INDEX(products!$A$1:$G$49,MATCH(orders!$D736, products!$A$1:$A$49,0), MATCH(orders!K$1,products!$A$1:$G$1,0))</f>
        <v>0.2</v>
      </c>
      <c r="L736" s="5">
        <f>INDEX(products!$A$1:$G$49,MATCH(orders!$D736, products!$A$1:$A$49,0), MATCH(orders!L$1,products!$A$1:$G$1,0))</f>
        <v>2.6849999999999996</v>
      </c>
      <c r="M736" s="5">
        <f t="shared" si="33"/>
        <v>13.424999999999997</v>
      </c>
      <c r="N736" t="str">
        <f t="shared" si="34"/>
        <v>Robusta</v>
      </c>
      <c r="O736" t="str">
        <f t="shared" si="35"/>
        <v>Dark</v>
      </c>
      <c r="P736" t="str">
        <f>_xlfn.XLOOKUP(Table1[[#This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IF(_xlfn.XLOOKUP(C737,customers!$A$1:$A$1001,customers!C736:C1736,,0)=0,"",_xlfn.XLOOKUP(C737,customers!$A$1:$A$1001,customers!C736:C1736,,0))</f>
        <v/>
      </c>
      <c r="H737" s="2" t="str">
        <f>_xlfn.XLOOKUP(orders!C737,customers!$A$1:$A$1001,customers!$G$1:$G$1001,,0)</f>
        <v>United States</v>
      </c>
      <c r="I737" t="str">
        <f>INDEX(products!$A$1:$G$49,MATCH(orders!$D737, products!$A$1:$A$49,0), MATCH(orders!I$1,products!$A$1:$G$1,0))</f>
        <v>Exc</v>
      </c>
      <c r="J737" t="str">
        <f>INDEX(products!$A$1:$G$49,MATCH(orders!$D737, products!$A$1:$A$49,0), MATCH(orders!J$1,products!$A$1:$G$1,0))</f>
        <v>D</v>
      </c>
      <c r="K737" s="4">
        <f>INDEX(products!$A$1:$G$49,MATCH(orders!$D737, products!$A$1:$A$49,0), MATCH(orders!K$1,products!$A$1:$G$1,0))</f>
        <v>0.2</v>
      </c>
      <c r="L737" s="5">
        <f>INDEX(products!$A$1:$G$49,MATCH(orders!$D737, products!$A$1:$A$49,0), MATCH(orders!L$1,products!$A$1:$G$1,0))</f>
        <v>3.645</v>
      </c>
      <c r="M737" s="5">
        <f t="shared" si="33"/>
        <v>21.87</v>
      </c>
      <c r="N737" t="str">
        <f t="shared" si="34"/>
        <v>Excelsa</v>
      </c>
      <c r="O737" t="str">
        <f t="shared" si="35"/>
        <v>Dark</v>
      </c>
      <c r="P737" t="str">
        <f>_xlfn.XLOOKUP(Table1[[#This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IF(_xlfn.XLOOKUP(C738,customers!$A$1:$A$1001,customers!C737:C1737,,0)=0,"",_xlfn.XLOOKUP(C738,customers!$A$1:$A$1001,customers!C737:C1737,,0))</f>
        <v/>
      </c>
      <c r="H738" s="2" t="str">
        <f>_xlfn.XLOOKUP(orders!C738,customers!$A$1:$A$1001,customers!$G$1:$G$1001,,0)</f>
        <v>Ireland</v>
      </c>
      <c r="I738" t="str">
        <f>INDEX(products!$A$1:$G$49,MATCH(orders!$D738, products!$A$1:$A$49,0), MATCH(orders!I$1,products!$A$1:$G$1,0))</f>
        <v>Lib</v>
      </c>
      <c r="J738" t="str">
        <f>INDEX(products!$A$1:$G$49,MATCH(orders!$D738, products!$A$1:$A$49,0), MATCH(orders!J$1,products!$A$1:$G$1,0))</f>
        <v>D</v>
      </c>
      <c r="K738" s="4">
        <f>INDEX(products!$A$1:$G$49,MATCH(orders!$D738, products!$A$1:$A$49,0), MATCH(orders!K$1,products!$A$1:$G$1,0))</f>
        <v>1</v>
      </c>
      <c r="L738" s="5">
        <f>INDEX(products!$A$1:$G$49,MATCH(orders!$D738, products!$A$1:$A$49,0), MATCH(orders!L$1,products!$A$1:$G$1,0))</f>
        <v>12.95</v>
      </c>
      <c r="M738" s="5">
        <f t="shared" si="33"/>
        <v>25.9</v>
      </c>
      <c r="N738" t="str">
        <f t="shared" si="34"/>
        <v>Liberica</v>
      </c>
      <c r="O738" t="str">
        <f t="shared" si="35"/>
        <v>Dark</v>
      </c>
      <c r="P738" t="str">
        <f>_xlfn.XLOOKUP(Table1[[#This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IF(_xlfn.XLOOKUP(C739,customers!$A$1:$A$1001,customers!C738:C1738,,0)=0,"",_xlfn.XLOOKUP(C739,customers!$A$1:$A$1001,customers!C738:C1738,,0))</f>
        <v/>
      </c>
      <c r="H739" s="2" t="str">
        <f>_xlfn.XLOOKUP(orders!C739,customers!$A$1:$A$1001,customers!$G$1:$G$1001,,0)</f>
        <v>United States</v>
      </c>
      <c r="I739" t="str">
        <f>INDEX(products!$A$1:$G$49,MATCH(orders!$D739, products!$A$1:$A$49,0), MATCH(orders!I$1,products!$A$1:$G$1,0))</f>
        <v>Ara</v>
      </c>
      <c r="J739" t="str">
        <f>INDEX(products!$A$1:$G$49,MATCH(orders!$D739, products!$A$1:$A$49,0), MATCH(orders!J$1,products!$A$1:$G$1,0))</f>
        <v>M</v>
      </c>
      <c r="K739" s="4">
        <f>INDEX(products!$A$1:$G$49,MATCH(orders!$D739, products!$A$1:$A$49,0), MATCH(orders!K$1,products!$A$1:$G$1,0))</f>
        <v>1</v>
      </c>
      <c r="L739" s="5">
        <f>INDEX(products!$A$1:$G$49,MATCH(orders!$D739, products!$A$1:$A$49,0), MATCH(orders!L$1,products!$A$1:$G$1,0))</f>
        <v>11.25</v>
      </c>
      <c r="M739" s="5">
        <f t="shared" si="33"/>
        <v>56.25</v>
      </c>
      <c r="N739" t="str">
        <f t="shared" si="34"/>
        <v>Arabica</v>
      </c>
      <c r="O739" t="str">
        <f t="shared" si="35"/>
        <v>Medium</v>
      </c>
      <c r="P739" t="str">
        <f>_xlfn.XLOOKUP(Table1[[#This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IF(_xlfn.XLOOKUP(C740,customers!$A$1:$A$1001,customers!C739:C1739,,0)=0,"",_xlfn.XLOOKUP(C740,customers!$A$1:$A$1001,customers!C739:C1739,,0))</f>
        <v/>
      </c>
      <c r="H740" s="2" t="str">
        <f>_xlfn.XLOOKUP(orders!C740,customers!$A$1:$A$1001,customers!$G$1:$G$1001,,0)</f>
        <v>United Kingdom</v>
      </c>
      <c r="I740" t="str">
        <f>INDEX(products!$A$1:$G$49,MATCH(orders!$D740, products!$A$1:$A$49,0), MATCH(orders!I$1,products!$A$1:$G$1,0))</f>
        <v>Rob</v>
      </c>
      <c r="J740" t="str">
        <f>INDEX(products!$A$1:$G$49,MATCH(orders!$D740, products!$A$1:$A$49,0), MATCH(orders!J$1,products!$A$1:$G$1,0))</f>
        <v>L</v>
      </c>
      <c r="K740" s="4">
        <f>INDEX(products!$A$1:$G$49,MATCH(orders!$D740, products!$A$1:$A$49,0), MATCH(orders!K$1,products!$A$1:$G$1,0))</f>
        <v>0.2</v>
      </c>
      <c r="L740" s="5">
        <f>INDEX(products!$A$1:$G$49,MATCH(orders!$D740, products!$A$1:$A$49,0), MATCH(orders!L$1,products!$A$1:$G$1,0))</f>
        <v>3.5849999999999995</v>
      </c>
      <c r="M740" s="5">
        <f t="shared" si="33"/>
        <v>10.754999999999999</v>
      </c>
      <c r="N740" t="str">
        <f t="shared" si="34"/>
        <v>Robusta</v>
      </c>
      <c r="O740" t="str">
        <f t="shared" si="35"/>
        <v>Light</v>
      </c>
      <c r="P740" t="str">
        <f>_xlfn.XLOOKUP(Table1[[#This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IF(_xlfn.XLOOKUP(C741,customers!$A$1:$A$1001,customers!C740:C1740,,0)=0,"",_xlfn.XLOOKUP(C741,customers!$A$1:$A$1001,customers!C740:C1740,,0))</f>
        <v/>
      </c>
      <c r="H741" s="2" t="str">
        <f>_xlfn.XLOOKUP(orders!C741,customers!$A$1:$A$1001,customers!$G$1:$G$1001,,0)</f>
        <v>Ireland</v>
      </c>
      <c r="I741" t="str">
        <f>INDEX(products!$A$1:$G$49,MATCH(orders!$D741, products!$A$1:$A$49,0), MATCH(orders!I$1,products!$A$1:$G$1,0))</f>
        <v>Exc</v>
      </c>
      <c r="J741" t="str">
        <f>INDEX(products!$A$1:$G$49,MATCH(orders!$D741, products!$A$1:$A$49,0), MATCH(orders!J$1,products!$A$1:$G$1,0))</f>
        <v>D</v>
      </c>
      <c r="K741" s="4">
        <f>INDEX(products!$A$1:$G$49,MATCH(orders!$D741, products!$A$1:$A$49,0), MATCH(orders!K$1,products!$A$1:$G$1,0))</f>
        <v>0.2</v>
      </c>
      <c r="L741" s="5">
        <f>INDEX(products!$A$1:$G$49,MATCH(orders!$D741, products!$A$1:$A$49,0), MATCH(orders!L$1,products!$A$1:$G$1,0))</f>
        <v>3.645</v>
      </c>
      <c r="M741" s="5">
        <f t="shared" si="33"/>
        <v>18.225000000000001</v>
      </c>
      <c r="N741" t="str">
        <f t="shared" si="34"/>
        <v>Excelsa</v>
      </c>
      <c r="O741" t="str">
        <f t="shared" si="35"/>
        <v>Dark</v>
      </c>
      <c r="P741" t="str">
        <f>_xlfn.XLOOKUP(Table1[[#This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IF(_xlfn.XLOOKUP(C742,customers!$A$1:$A$1001,customers!C741:C1741,,0)=0,"",_xlfn.XLOOKUP(C742,customers!$A$1:$A$1001,customers!C741:C1741,,0))</f>
        <v/>
      </c>
      <c r="H742" s="2" t="str">
        <f>_xlfn.XLOOKUP(orders!C742,customers!$A$1:$A$1001,customers!$G$1:$G$1001,,0)</f>
        <v>Ireland</v>
      </c>
      <c r="I742" t="str">
        <f>INDEX(products!$A$1:$G$49,MATCH(orders!$D742, products!$A$1:$A$49,0), MATCH(orders!I$1,products!$A$1:$G$1,0))</f>
        <v>Rob</v>
      </c>
      <c r="J742" t="str">
        <f>INDEX(products!$A$1:$G$49,MATCH(orders!$D742, products!$A$1:$A$49,0), MATCH(orders!J$1,products!$A$1:$G$1,0))</f>
        <v>L</v>
      </c>
      <c r="K742" s="4">
        <f>INDEX(products!$A$1:$G$49,MATCH(orders!$D742, products!$A$1:$A$49,0), MATCH(orders!K$1,products!$A$1:$G$1,0))</f>
        <v>0.5</v>
      </c>
      <c r="L742" s="5">
        <f>INDEX(products!$A$1:$G$49,MATCH(orders!$D742, products!$A$1:$A$49,0), MATCH(orders!L$1,products!$A$1:$G$1,0))</f>
        <v>7.169999999999999</v>
      </c>
      <c r="M742" s="5">
        <f t="shared" si="33"/>
        <v>28.679999999999996</v>
      </c>
      <c r="N742" t="str">
        <f t="shared" si="34"/>
        <v>Robusta</v>
      </c>
      <c r="O742" t="str">
        <f t="shared" si="35"/>
        <v>Light</v>
      </c>
      <c r="P742" t="str">
        <f>_xlfn.XLOOKUP(Table1[[#This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IF(_xlfn.XLOOKUP(C743,customers!$A$1:$A$1001,customers!C742:C1742,,0)=0,"",_xlfn.XLOOKUP(C743,customers!$A$1:$A$1001,customers!C742:C1742,,0))</f>
        <v/>
      </c>
      <c r="H743" s="2" t="str">
        <f>_xlfn.XLOOKUP(orders!C743,customers!$A$1:$A$1001,customers!$G$1:$G$1001,,0)</f>
        <v>United States</v>
      </c>
      <c r="I743" t="str">
        <f>INDEX(products!$A$1:$G$49,MATCH(orders!$D743, products!$A$1:$A$49,0), MATCH(orders!I$1,products!$A$1:$G$1,0))</f>
        <v>Lib</v>
      </c>
      <c r="J743" t="str">
        <f>INDEX(products!$A$1:$G$49,MATCH(orders!$D743, products!$A$1:$A$49,0), MATCH(orders!J$1,products!$A$1:$G$1,0))</f>
        <v>M</v>
      </c>
      <c r="K743" s="4">
        <f>INDEX(products!$A$1:$G$49,MATCH(orders!$D743, products!$A$1:$A$49,0), MATCH(orders!K$1,products!$A$1:$G$1,0))</f>
        <v>0.2</v>
      </c>
      <c r="L743" s="5">
        <f>INDEX(products!$A$1:$G$49,MATCH(orders!$D743, products!$A$1:$A$49,0), MATCH(orders!L$1,products!$A$1:$G$1,0))</f>
        <v>4.3650000000000002</v>
      </c>
      <c r="M743" s="5">
        <f t="shared" si="33"/>
        <v>8.73</v>
      </c>
      <c r="N743" t="str">
        <f t="shared" si="34"/>
        <v>Liberica</v>
      </c>
      <c r="O743" t="str">
        <f t="shared" si="35"/>
        <v>Medium</v>
      </c>
      <c r="P743" t="str">
        <f>_xlfn.XLOOKUP(Table1[[#This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IF(_xlfn.XLOOKUP(C744,customers!$A$1:$A$1001,customers!C743:C1743,,0)=0,"",_xlfn.XLOOKUP(C744,customers!$A$1:$A$1001,customers!C743:C1743,,0))</f>
        <v/>
      </c>
      <c r="H744" s="2" t="str">
        <f>_xlfn.XLOOKUP(orders!C744,customers!$A$1:$A$1001,customers!$G$1:$G$1001,,0)</f>
        <v>United States</v>
      </c>
      <c r="I744" t="str">
        <f>INDEX(products!$A$1:$G$49,MATCH(orders!$D744, products!$A$1:$A$49,0), MATCH(orders!I$1,products!$A$1:$G$1,0))</f>
        <v>Lib</v>
      </c>
      <c r="J744" t="str">
        <f>INDEX(products!$A$1:$G$49,MATCH(orders!$D744, products!$A$1:$A$49,0), MATCH(orders!J$1,products!$A$1:$G$1,0))</f>
        <v>M</v>
      </c>
      <c r="K744" s="4">
        <f>INDEX(products!$A$1:$G$49,MATCH(orders!$D744, products!$A$1:$A$49,0), MATCH(orders!K$1,products!$A$1:$G$1,0))</f>
        <v>1</v>
      </c>
      <c r="L744" s="5">
        <f>INDEX(products!$A$1:$G$49,MATCH(orders!$D744, products!$A$1:$A$49,0), MATCH(orders!L$1,products!$A$1:$G$1,0))</f>
        <v>14.55</v>
      </c>
      <c r="M744" s="5">
        <f t="shared" si="33"/>
        <v>58.2</v>
      </c>
      <c r="N744" t="str">
        <f t="shared" si="34"/>
        <v>Liberica</v>
      </c>
      <c r="O744" t="str">
        <f t="shared" si="35"/>
        <v>Medium</v>
      </c>
      <c r="P744" t="str">
        <f>_xlfn.XLOOKUP(Table1[[#This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IF(_xlfn.XLOOKUP(C745,customers!$A$1:$A$1001,customers!C744:C1744,,0)=0,"",_xlfn.XLOOKUP(C745,customers!$A$1:$A$1001,customers!C744:C1744,,0))</f>
        <v/>
      </c>
      <c r="H745" s="2" t="str">
        <f>_xlfn.XLOOKUP(orders!C745,customers!$A$1:$A$1001,customers!$G$1:$G$1001,,0)</f>
        <v>United States</v>
      </c>
      <c r="I745" t="str">
        <f>INDEX(products!$A$1:$G$49,MATCH(orders!$D745, products!$A$1:$A$49,0), MATCH(orders!I$1,products!$A$1:$G$1,0))</f>
        <v>Ara</v>
      </c>
      <c r="J745" t="str">
        <f>INDEX(products!$A$1:$G$49,MATCH(orders!$D745, products!$A$1:$A$49,0), MATCH(orders!J$1,products!$A$1:$G$1,0))</f>
        <v>D</v>
      </c>
      <c r="K745" s="4">
        <f>INDEX(products!$A$1:$G$49,MATCH(orders!$D745, products!$A$1:$A$49,0), MATCH(orders!K$1,products!$A$1:$G$1,0))</f>
        <v>0.5</v>
      </c>
      <c r="L745" s="5">
        <f>INDEX(products!$A$1:$G$49,MATCH(orders!$D745, products!$A$1:$A$49,0), MATCH(orders!L$1,products!$A$1:$G$1,0))</f>
        <v>5.97</v>
      </c>
      <c r="M745" s="5">
        <f t="shared" si="33"/>
        <v>17.91</v>
      </c>
      <c r="N745" t="str">
        <f t="shared" si="34"/>
        <v>Arabica</v>
      </c>
      <c r="O745" t="str">
        <f t="shared" si="35"/>
        <v>Dark</v>
      </c>
      <c r="P745" t="str">
        <f>_xlfn.XLOOKUP(Table1[[#This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IF(_xlfn.XLOOKUP(C746,customers!$A$1:$A$1001,customers!C745:C1745,,0)=0,"",_xlfn.XLOOKUP(C746,customers!$A$1:$A$1001,customers!C745:C1745,,0))</f>
        <v/>
      </c>
      <c r="H746" s="2" t="str">
        <f>_xlfn.XLOOKUP(orders!C746,customers!$A$1:$A$1001,customers!$G$1:$G$1001,,0)</f>
        <v>United States</v>
      </c>
      <c r="I746" t="str">
        <f>INDEX(products!$A$1:$G$49,MATCH(orders!$D746, products!$A$1:$A$49,0), MATCH(orders!I$1,products!$A$1:$G$1,0))</f>
        <v>Rob</v>
      </c>
      <c r="J746" t="str">
        <f>INDEX(products!$A$1:$G$49,MATCH(orders!$D746, products!$A$1:$A$49,0), MATCH(orders!J$1,products!$A$1:$G$1,0))</f>
        <v>M</v>
      </c>
      <c r="K746" s="4">
        <f>INDEX(products!$A$1:$G$49,MATCH(orders!$D746, products!$A$1:$A$49,0), MATCH(orders!K$1,products!$A$1:$G$1,0))</f>
        <v>0.2</v>
      </c>
      <c r="L746" s="5">
        <f>INDEX(products!$A$1:$G$49,MATCH(orders!$D746, products!$A$1:$A$49,0), MATCH(orders!L$1,products!$A$1:$G$1,0))</f>
        <v>2.9849999999999999</v>
      </c>
      <c r="M746" s="5">
        <f t="shared" si="33"/>
        <v>17.91</v>
      </c>
      <c r="N746" t="str">
        <f t="shared" si="34"/>
        <v>Robusta</v>
      </c>
      <c r="O746" t="str">
        <f t="shared" si="35"/>
        <v>Medium</v>
      </c>
      <c r="P746" t="str">
        <f>_xlfn.XLOOKUP(Table1[[#This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IF(_xlfn.XLOOKUP(C747,customers!$A$1:$A$1001,customers!C746:C1746,,0)=0,"",_xlfn.XLOOKUP(C747,customers!$A$1:$A$1001,customers!C746:C1746,,0))</f>
        <v/>
      </c>
      <c r="H747" s="2" t="str">
        <f>_xlfn.XLOOKUP(orders!C747,customers!$A$1:$A$1001,customers!$G$1:$G$1001,,0)</f>
        <v>Ireland</v>
      </c>
      <c r="I747" t="str">
        <f>INDEX(products!$A$1:$G$49,MATCH(orders!$D747, products!$A$1:$A$49,0), MATCH(orders!I$1,products!$A$1:$G$1,0))</f>
        <v>Exc</v>
      </c>
      <c r="J747" t="str">
        <f>INDEX(products!$A$1:$G$49,MATCH(orders!$D747, products!$A$1:$A$49,0), MATCH(orders!J$1,products!$A$1:$G$1,0))</f>
        <v>D</v>
      </c>
      <c r="K747" s="4">
        <f>INDEX(products!$A$1:$G$49,MATCH(orders!$D747, products!$A$1:$A$49,0), MATCH(orders!K$1,products!$A$1:$G$1,0))</f>
        <v>0.5</v>
      </c>
      <c r="L747" s="5">
        <f>INDEX(products!$A$1:$G$49,MATCH(orders!$D747, products!$A$1:$A$49,0), MATCH(orders!L$1,products!$A$1:$G$1,0))</f>
        <v>7.29</v>
      </c>
      <c r="M747" s="5">
        <f t="shared" si="33"/>
        <v>14.58</v>
      </c>
      <c r="N747" t="str">
        <f t="shared" si="34"/>
        <v>Excelsa</v>
      </c>
      <c r="O747" t="str">
        <f t="shared" si="35"/>
        <v>Dark</v>
      </c>
      <c r="P747" t="str">
        <f>_xlfn.XLOOKUP(Table1[[#This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IF(_xlfn.XLOOKUP(C748,customers!$A$1:$A$1001,customers!C747:C1747,,0)=0,"",_xlfn.XLOOKUP(C748,customers!$A$1:$A$1001,customers!C747:C1747,,0))</f>
        <v/>
      </c>
      <c r="H748" s="2" t="str">
        <f>_xlfn.XLOOKUP(orders!C748,customers!$A$1:$A$1001,customers!$G$1:$G$1001,,0)</f>
        <v>Ireland</v>
      </c>
      <c r="I748" t="str">
        <f>INDEX(products!$A$1:$G$49,MATCH(orders!$D748, products!$A$1:$A$49,0), MATCH(orders!I$1,products!$A$1:$G$1,0))</f>
        <v>Ara</v>
      </c>
      <c r="J748" t="str">
        <f>INDEX(products!$A$1:$G$49,MATCH(orders!$D748, products!$A$1:$A$49,0), MATCH(orders!J$1,products!$A$1:$G$1,0))</f>
        <v>M</v>
      </c>
      <c r="K748" s="4">
        <f>INDEX(products!$A$1:$G$49,MATCH(orders!$D748, products!$A$1:$A$49,0), MATCH(orders!K$1,products!$A$1:$G$1,0))</f>
        <v>1</v>
      </c>
      <c r="L748" s="5">
        <f>INDEX(products!$A$1:$G$49,MATCH(orders!$D748, products!$A$1:$A$49,0), MATCH(orders!L$1,products!$A$1:$G$1,0))</f>
        <v>11.25</v>
      </c>
      <c r="M748" s="5">
        <f t="shared" si="33"/>
        <v>33.75</v>
      </c>
      <c r="N748" t="str">
        <f t="shared" si="34"/>
        <v>Arabica</v>
      </c>
      <c r="O748" t="str">
        <f t="shared" si="35"/>
        <v>Medium</v>
      </c>
      <c r="P748" t="str">
        <f>_xlfn.XLOOKUP(Table1[[#This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IF(_xlfn.XLOOKUP(C749,customers!$A$1:$A$1001,customers!C748:C1748,,0)=0,"",_xlfn.XLOOKUP(C749,customers!$A$1:$A$1001,customers!C748:C1748,,0))</f>
        <v/>
      </c>
      <c r="H749" s="2" t="str">
        <f>_xlfn.XLOOKUP(orders!C749,customers!$A$1:$A$1001,customers!$G$1:$G$1001,,0)</f>
        <v>Ireland</v>
      </c>
      <c r="I749" t="str">
        <f>INDEX(products!$A$1:$G$49,MATCH(orders!$D749, products!$A$1:$A$49,0), MATCH(orders!I$1,products!$A$1:$G$1,0))</f>
        <v>Lib</v>
      </c>
      <c r="J749" t="str">
        <f>INDEX(products!$A$1:$G$49,MATCH(orders!$D749, products!$A$1:$A$49,0), MATCH(orders!J$1,products!$A$1:$G$1,0))</f>
        <v>M</v>
      </c>
      <c r="K749" s="4">
        <f>INDEX(products!$A$1:$G$49,MATCH(orders!$D749, products!$A$1:$A$49,0), MATCH(orders!K$1,products!$A$1:$G$1,0))</f>
        <v>0.5</v>
      </c>
      <c r="L749" s="5">
        <f>INDEX(products!$A$1:$G$49,MATCH(orders!$D749, products!$A$1:$A$49,0), MATCH(orders!L$1,products!$A$1:$G$1,0))</f>
        <v>8.73</v>
      </c>
      <c r="M749" s="5">
        <f t="shared" si="33"/>
        <v>34.92</v>
      </c>
      <c r="N749" t="str">
        <f t="shared" si="34"/>
        <v>Liberica</v>
      </c>
      <c r="O749" t="str">
        <f t="shared" si="35"/>
        <v>Medium</v>
      </c>
      <c r="P749" t="str">
        <f>_xlfn.XLOOKUP(Table1[[#This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IF(_xlfn.XLOOKUP(C750,customers!$A$1:$A$1001,customers!C749:C1749,,0)=0,"",_xlfn.XLOOKUP(C750,customers!$A$1:$A$1001,customers!C749:C1749,,0))</f>
        <v/>
      </c>
      <c r="H750" s="2" t="str">
        <f>_xlfn.XLOOKUP(orders!C750,customers!$A$1:$A$1001,customers!$G$1:$G$1001,,0)</f>
        <v>United States</v>
      </c>
      <c r="I750" t="str">
        <f>INDEX(products!$A$1:$G$49,MATCH(orders!$D750, products!$A$1:$A$49,0), MATCH(orders!I$1,products!$A$1:$G$1,0))</f>
        <v>Exc</v>
      </c>
      <c r="J750" t="str">
        <f>INDEX(products!$A$1:$G$49,MATCH(orders!$D750, products!$A$1:$A$49,0), MATCH(orders!J$1,products!$A$1:$G$1,0))</f>
        <v>D</v>
      </c>
      <c r="K750" s="4">
        <f>INDEX(products!$A$1:$G$49,MATCH(orders!$D750, products!$A$1:$A$49,0), MATCH(orders!K$1,products!$A$1:$G$1,0))</f>
        <v>0.5</v>
      </c>
      <c r="L750" s="5">
        <f>INDEX(products!$A$1:$G$49,MATCH(orders!$D750, products!$A$1:$A$49,0), MATCH(orders!L$1,products!$A$1:$G$1,0))</f>
        <v>7.29</v>
      </c>
      <c r="M750" s="5">
        <f t="shared" si="33"/>
        <v>14.58</v>
      </c>
      <c r="N750" t="str">
        <f t="shared" si="34"/>
        <v>Excelsa</v>
      </c>
      <c r="O750" t="str">
        <f t="shared" si="35"/>
        <v>Dark</v>
      </c>
      <c r="P750" t="str">
        <f>_xlfn.XLOOKUP(Table1[[#This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IF(_xlfn.XLOOKUP(C751,customers!$A$1:$A$1001,customers!C750:C1750,,0)=0,"",_xlfn.XLOOKUP(C751,customers!$A$1:$A$1001,customers!C750:C1750,,0))</f>
        <v/>
      </c>
      <c r="H751" s="2" t="str">
        <f>_xlfn.XLOOKUP(orders!C751,customers!$A$1:$A$1001,customers!$G$1:$G$1001,,0)</f>
        <v>Ireland</v>
      </c>
      <c r="I751" t="str">
        <f>INDEX(products!$A$1:$G$49,MATCH(orders!$D751, products!$A$1:$A$49,0), MATCH(orders!I$1,products!$A$1:$G$1,0))</f>
        <v>Rob</v>
      </c>
      <c r="J751" t="str">
        <f>INDEX(products!$A$1:$G$49,MATCH(orders!$D751, products!$A$1:$A$49,0), MATCH(orders!J$1,products!$A$1:$G$1,0))</f>
        <v>D</v>
      </c>
      <c r="K751" s="4">
        <f>INDEX(products!$A$1:$G$49,MATCH(orders!$D751, products!$A$1:$A$49,0), MATCH(orders!K$1,products!$A$1:$G$1,0))</f>
        <v>0.2</v>
      </c>
      <c r="L751" s="5">
        <f>INDEX(products!$A$1:$G$49,MATCH(orders!$D751, products!$A$1:$A$49,0), MATCH(orders!L$1,products!$A$1:$G$1,0))</f>
        <v>2.6849999999999996</v>
      </c>
      <c r="M751" s="5">
        <f t="shared" si="33"/>
        <v>5.3699999999999992</v>
      </c>
      <c r="N751" t="str">
        <f t="shared" si="34"/>
        <v>Robusta</v>
      </c>
      <c r="O751" t="str">
        <f t="shared" si="35"/>
        <v>Dark</v>
      </c>
      <c r="P751" t="str">
        <f>_xlfn.XLOOKUP(Table1[[#This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IF(_xlfn.XLOOKUP(C752,customers!$A$1:$A$1001,customers!C751:C1751,,0)=0,"",_xlfn.XLOOKUP(C752,customers!$A$1:$A$1001,customers!C751:C1751,,0))</f>
        <v/>
      </c>
      <c r="H752" s="2" t="str">
        <f>_xlfn.XLOOKUP(orders!C752,customers!$A$1:$A$1001,customers!$G$1:$G$1001,,0)</f>
        <v>United States</v>
      </c>
      <c r="I752" t="str">
        <f>INDEX(products!$A$1:$G$49,MATCH(orders!$D752, products!$A$1:$A$49,0), MATCH(orders!I$1,products!$A$1:$G$1,0))</f>
        <v>Rob</v>
      </c>
      <c r="J752" t="str">
        <f>INDEX(products!$A$1:$G$49,MATCH(orders!$D752, products!$A$1:$A$49,0), MATCH(orders!J$1,products!$A$1:$G$1,0))</f>
        <v>M</v>
      </c>
      <c r="K752" s="4">
        <f>INDEX(products!$A$1:$G$49,MATCH(orders!$D752, products!$A$1:$A$49,0), MATCH(orders!K$1,products!$A$1:$G$1,0))</f>
        <v>0.5</v>
      </c>
      <c r="L752" s="5">
        <f>INDEX(products!$A$1:$G$49,MATCH(orders!$D752, products!$A$1:$A$49,0), MATCH(orders!L$1,products!$A$1:$G$1,0))</f>
        <v>5.97</v>
      </c>
      <c r="M752" s="5">
        <f t="shared" si="33"/>
        <v>5.97</v>
      </c>
      <c r="N752" t="str">
        <f t="shared" si="34"/>
        <v>Robusta</v>
      </c>
      <c r="O752" t="str">
        <f t="shared" si="35"/>
        <v>Medium</v>
      </c>
      <c r="P752" t="str">
        <f>_xlfn.XLOOKUP(Table1[[#This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IF(_xlfn.XLOOKUP(C753,customers!$A$1:$A$1001,customers!C752:C1752,,0)=0,"",_xlfn.XLOOKUP(C753,customers!$A$1:$A$1001,customers!C752:C1752,,0))</f>
        <v/>
      </c>
      <c r="H753" s="2" t="str">
        <f>_xlfn.XLOOKUP(orders!C753,customers!$A$1:$A$1001,customers!$G$1:$G$1001,,0)</f>
        <v>United States</v>
      </c>
      <c r="I753" t="str">
        <f>INDEX(products!$A$1:$G$49,MATCH(orders!$D753, products!$A$1:$A$49,0), MATCH(orders!I$1,products!$A$1:$G$1,0))</f>
        <v>Lib</v>
      </c>
      <c r="J753" t="str">
        <f>INDEX(products!$A$1:$G$49,MATCH(orders!$D753, products!$A$1:$A$49,0), MATCH(orders!J$1,products!$A$1:$G$1,0))</f>
        <v>L</v>
      </c>
      <c r="K753" s="4">
        <f>INDEX(products!$A$1:$G$49,MATCH(orders!$D753, products!$A$1:$A$49,0), MATCH(orders!K$1,products!$A$1:$G$1,0))</f>
        <v>0.5</v>
      </c>
      <c r="L753" s="5">
        <f>INDEX(products!$A$1:$G$49,MATCH(orders!$D753, products!$A$1:$A$49,0), MATCH(orders!L$1,products!$A$1:$G$1,0))</f>
        <v>9.51</v>
      </c>
      <c r="M753" s="5">
        <f t="shared" si="33"/>
        <v>19.02</v>
      </c>
      <c r="N753" t="str">
        <f t="shared" si="34"/>
        <v>Liberica</v>
      </c>
      <c r="O753" t="str">
        <f t="shared" si="35"/>
        <v>Light</v>
      </c>
      <c r="P753" t="str">
        <f>_xlfn.XLOOKUP(Table1[[#This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IF(_xlfn.XLOOKUP(C754,customers!$A$1:$A$1001,customers!C753:C1753,,0)=0,"",_xlfn.XLOOKUP(C754,customers!$A$1:$A$1001,customers!C753:C1753,,0))</f>
        <v/>
      </c>
      <c r="H754" s="2" t="str">
        <f>_xlfn.XLOOKUP(orders!C754,customers!$A$1:$A$1001,customers!$G$1:$G$1001,,0)</f>
        <v>United States</v>
      </c>
      <c r="I754" t="str">
        <f>INDEX(products!$A$1:$G$49,MATCH(orders!$D754, products!$A$1:$A$49,0), MATCH(orders!I$1,products!$A$1:$G$1,0))</f>
        <v>Exc</v>
      </c>
      <c r="J754" t="str">
        <f>INDEX(products!$A$1:$G$49,MATCH(orders!$D754, products!$A$1:$A$49,0), MATCH(orders!J$1,products!$A$1:$G$1,0))</f>
        <v>M</v>
      </c>
      <c r="K754" s="4">
        <f>INDEX(products!$A$1:$G$49,MATCH(orders!$D754, products!$A$1:$A$49,0), MATCH(orders!K$1,products!$A$1:$G$1,0))</f>
        <v>1</v>
      </c>
      <c r="L754" s="5">
        <f>INDEX(products!$A$1:$G$49,MATCH(orders!$D754, products!$A$1:$A$49,0), MATCH(orders!L$1,products!$A$1:$G$1,0))</f>
        <v>13.75</v>
      </c>
      <c r="M754" s="5">
        <f t="shared" si="33"/>
        <v>27.5</v>
      </c>
      <c r="N754" t="str">
        <f t="shared" si="34"/>
        <v>Excelsa</v>
      </c>
      <c r="O754" t="str">
        <f t="shared" si="35"/>
        <v>Medium</v>
      </c>
      <c r="P754" t="str">
        <f>_xlfn.XLOOKUP(Table1[[#This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IF(_xlfn.XLOOKUP(C755,customers!$A$1:$A$1001,customers!C754:C1754,,0)=0,"",_xlfn.XLOOKUP(C755,customers!$A$1:$A$1001,customers!C754:C1754,,0))</f>
        <v/>
      </c>
      <c r="H755" s="2" t="str">
        <f>_xlfn.XLOOKUP(orders!C755,customers!$A$1:$A$1001,customers!$G$1:$G$1001,,0)</f>
        <v>United States</v>
      </c>
      <c r="I755" t="str">
        <f>INDEX(products!$A$1:$G$49,MATCH(orders!$D755, products!$A$1:$A$49,0), MATCH(orders!I$1,products!$A$1:$G$1,0))</f>
        <v>Ara</v>
      </c>
      <c r="J755" t="str">
        <f>INDEX(products!$A$1:$G$49,MATCH(orders!$D755, products!$A$1:$A$49,0), MATCH(orders!J$1,products!$A$1:$G$1,0))</f>
        <v>D</v>
      </c>
      <c r="K755" s="4">
        <f>INDEX(products!$A$1:$G$49,MATCH(orders!$D755, products!$A$1:$A$49,0), MATCH(orders!K$1,products!$A$1:$G$1,0))</f>
        <v>0.5</v>
      </c>
      <c r="L755" s="5">
        <f>INDEX(products!$A$1:$G$49,MATCH(orders!$D755, products!$A$1:$A$49,0), MATCH(orders!L$1,products!$A$1:$G$1,0))</f>
        <v>5.97</v>
      </c>
      <c r="M755" s="5">
        <f t="shared" si="33"/>
        <v>29.849999999999998</v>
      </c>
      <c r="N755" t="str">
        <f t="shared" si="34"/>
        <v>Arabica</v>
      </c>
      <c r="O755" t="str">
        <f t="shared" si="35"/>
        <v>Dark</v>
      </c>
      <c r="P755" t="str">
        <f>_xlfn.XLOOKUP(Table1[[#This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IF(_xlfn.XLOOKUP(C756,customers!$A$1:$A$1001,customers!C755:C1755,,0)=0,"",_xlfn.XLOOKUP(C756,customers!$A$1:$A$1001,customers!C755:C1755,,0))</f>
        <v/>
      </c>
      <c r="H756" s="2" t="str">
        <f>_xlfn.XLOOKUP(orders!C756,customers!$A$1:$A$1001,customers!$G$1:$G$1001,,0)</f>
        <v>Ireland</v>
      </c>
      <c r="I756" t="str">
        <f>INDEX(products!$A$1:$G$49,MATCH(orders!$D756, products!$A$1:$A$49,0), MATCH(orders!I$1,products!$A$1:$G$1,0))</f>
        <v>Ara</v>
      </c>
      <c r="J756" t="str">
        <f>INDEX(products!$A$1:$G$49,MATCH(orders!$D756, products!$A$1:$A$49,0), MATCH(orders!J$1,products!$A$1:$G$1,0))</f>
        <v>D</v>
      </c>
      <c r="K756" s="4">
        <f>INDEX(products!$A$1:$G$49,MATCH(orders!$D756, products!$A$1:$A$49,0), MATCH(orders!K$1,products!$A$1:$G$1,0))</f>
        <v>0.2</v>
      </c>
      <c r="L756" s="5">
        <f>INDEX(products!$A$1:$G$49,MATCH(orders!$D756, products!$A$1:$A$49,0), MATCH(orders!L$1,products!$A$1:$G$1,0))</f>
        <v>2.9849999999999999</v>
      </c>
      <c r="M756" s="5">
        <f t="shared" si="33"/>
        <v>17.91</v>
      </c>
      <c r="N756" t="str">
        <f t="shared" si="34"/>
        <v>Arabica</v>
      </c>
      <c r="O756" t="str">
        <f t="shared" si="35"/>
        <v>Dark</v>
      </c>
      <c r="P756" t="str">
        <f>_xlfn.XLOOKUP(Table1[[#This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IF(_xlfn.XLOOKUP(C757,customers!$A$1:$A$1001,customers!C756:C1756,,0)=0,"",_xlfn.XLOOKUP(C757,customers!$A$1:$A$1001,customers!C756:C1756,,0))</f>
        <v/>
      </c>
      <c r="H757" s="2" t="str">
        <f>_xlfn.XLOOKUP(orders!C757,customers!$A$1:$A$1001,customers!$G$1:$G$1001,,0)</f>
        <v>United States</v>
      </c>
      <c r="I757" t="str">
        <f>INDEX(products!$A$1:$G$49,MATCH(orders!$D757, products!$A$1:$A$49,0), MATCH(orders!I$1,products!$A$1:$G$1,0))</f>
        <v>Lib</v>
      </c>
      <c r="J757" t="str">
        <f>INDEX(products!$A$1:$G$49,MATCH(orders!$D757, products!$A$1:$A$49,0), MATCH(orders!J$1,products!$A$1:$G$1,0))</f>
        <v>L</v>
      </c>
      <c r="K757" s="4">
        <f>INDEX(products!$A$1:$G$49,MATCH(orders!$D757, products!$A$1:$A$49,0), MATCH(orders!K$1,products!$A$1:$G$1,0))</f>
        <v>0.2</v>
      </c>
      <c r="L757" s="5">
        <f>INDEX(products!$A$1:$G$49,MATCH(orders!$D757, products!$A$1:$A$49,0), MATCH(orders!L$1,products!$A$1:$G$1,0))</f>
        <v>4.7549999999999999</v>
      </c>
      <c r="M757" s="5">
        <f t="shared" si="33"/>
        <v>28.53</v>
      </c>
      <c r="N757" t="str">
        <f t="shared" si="34"/>
        <v>Liberica</v>
      </c>
      <c r="O757" t="str">
        <f t="shared" si="35"/>
        <v>Light</v>
      </c>
      <c r="P757" t="str">
        <f>_xlfn.XLOOKUP(Table1[[#This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IF(_xlfn.XLOOKUP(C758,customers!$A$1:$A$1001,customers!C757:C1757,,0)=0,"",_xlfn.XLOOKUP(C758,customers!$A$1:$A$1001,customers!C757:C1757,,0))</f>
        <v/>
      </c>
      <c r="H758" s="2" t="str">
        <f>_xlfn.XLOOKUP(orders!C758,customers!$A$1:$A$1001,customers!$G$1:$G$1001,,0)</f>
        <v>United States</v>
      </c>
      <c r="I758" t="str">
        <f>INDEX(products!$A$1:$G$49,MATCH(orders!$D758, products!$A$1:$A$49,0), MATCH(orders!I$1,products!$A$1:$G$1,0))</f>
        <v>Rob</v>
      </c>
      <c r="J758" t="str">
        <f>INDEX(products!$A$1:$G$49,MATCH(orders!$D758, products!$A$1:$A$49,0), MATCH(orders!J$1,products!$A$1:$G$1,0))</f>
        <v>D</v>
      </c>
      <c r="K758" s="4">
        <f>INDEX(products!$A$1:$G$49,MATCH(orders!$D758, products!$A$1:$A$49,0), MATCH(orders!K$1,products!$A$1:$G$1,0))</f>
        <v>1</v>
      </c>
      <c r="L758" s="5">
        <f>INDEX(products!$A$1:$G$49,MATCH(orders!$D758, products!$A$1:$A$49,0), MATCH(orders!L$1,products!$A$1:$G$1,0))</f>
        <v>8.9499999999999993</v>
      </c>
      <c r="M758" s="5">
        <f t="shared" si="33"/>
        <v>35.799999999999997</v>
      </c>
      <c r="N758" t="str">
        <f t="shared" si="34"/>
        <v>Robusta</v>
      </c>
      <c r="O758" t="str">
        <f t="shared" si="35"/>
        <v>Dark</v>
      </c>
      <c r="P758" t="str">
        <f>_xlfn.XLOOKUP(Table1[[#This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IF(_xlfn.XLOOKUP(C759,customers!$A$1:$A$1001,customers!C758:C1758,,0)=0,"",_xlfn.XLOOKUP(C759,customers!$A$1:$A$1001,customers!C758:C1758,,0))</f>
        <v/>
      </c>
      <c r="H759" s="2" t="str">
        <f>_xlfn.XLOOKUP(orders!C759,customers!$A$1:$A$1001,customers!$G$1:$G$1001,,0)</f>
        <v>United States</v>
      </c>
      <c r="I759" t="str">
        <f>INDEX(products!$A$1:$G$49,MATCH(orders!$D759, products!$A$1:$A$49,0), MATCH(orders!I$1,products!$A$1:$G$1,0))</f>
        <v>Ara</v>
      </c>
      <c r="J759" t="str">
        <f>INDEX(products!$A$1:$G$49,MATCH(orders!$D759, products!$A$1:$A$49,0), MATCH(orders!J$1,products!$A$1:$G$1,0))</f>
        <v>D</v>
      </c>
      <c r="K759" s="4">
        <f>INDEX(products!$A$1:$G$49,MATCH(orders!$D759, products!$A$1:$A$49,0), MATCH(orders!K$1,products!$A$1:$G$1,0))</f>
        <v>0.5</v>
      </c>
      <c r="L759" s="5">
        <f>INDEX(products!$A$1:$G$49,MATCH(orders!$D759, products!$A$1:$A$49,0), MATCH(orders!L$1,products!$A$1:$G$1,0))</f>
        <v>5.97</v>
      </c>
      <c r="M759" s="5">
        <f t="shared" si="33"/>
        <v>17.91</v>
      </c>
      <c r="N759" t="str">
        <f t="shared" si="34"/>
        <v>Arabica</v>
      </c>
      <c r="O759" t="str">
        <f t="shared" si="35"/>
        <v>Dark</v>
      </c>
      <c r="P759" t="str">
        <f>_xlfn.XLOOKUP(Table1[[#This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IF(_xlfn.XLOOKUP(C760,customers!$A$1:$A$1001,customers!C759:C1759,,0)=0,"",_xlfn.XLOOKUP(C760,customers!$A$1:$A$1001,customers!C759:C1759,,0))</f>
        <v/>
      </c>
      <c r="H760" s="2" t="str">
        <f>_xlfn.XLOOKUP(orders!C760,customers!$A$1:$A$1001,customers!$G$1:$G$1001,,0)</f>
        <v>United States</v>
      </c>
      <c r="I760" t="str">
        <f>INDEX(products!$A$1:$G$49,MATCH(orders!$D760, products!$A$1:$A$49,0), MATCH(orders!I$1,products!$A$1:$G$1,0))</f>
        <v>Rob</v>
      </c>
      <c r="J760" t="str">
        <f>INDEX(products!$A$1:$G$49,MATCH(orders!$D760, products!$A$1:$A$49,0), MATCH(orders!J$1,products!$A$1:$G$1,0))</f>
        <v>D</v>
      </c>
      <c r="K760" s="4">
        <f>INDEX(products!$A$1:$G$49,MATCH(orders!$D760, products!$A$1:$A$49,0), MATCH(orders!K$1,products!$A$1:$G$1,0))</f>
        <v>1</v>
      </c>
      <c r="L760" s="5">
        <f>INDEX(products!$A$1:$G$49,MATCH(orders!$D760, products!$A$1:$A$49,0), MATCH(orders!L$1,products!$A$1:$G$1,0))</f>
        <v>8.9499999999999993</v>
      </c>
      <c r="M760" s="5">
        <f t="shared" si="33"/>
        <v>8.9499999999999993</v>
      </c>
      <c r="N760" t="str">
        <f t="shared" si="34"/>
        <v>Robusta</v>
      </c>
      <c r="O760" t="str">
        <f t="shared" si="35"/>
        <v>Dark</v>
      </c>
      <c r="P760" t="str">
        <f>_xlfn.XLOOKUP(Table1[[#This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IF(_xlfn.XLOOKUP(C761,customers!$A$1:$A$1001,customers!C760:C1760,,0)=0,"",_xlfn.XLOOKUP(C761,customers!$A$1:$A$1001,customers!C760:C1760,,0))</f>
        <v/>
      </c>
      <c r="H761" s="2" t="str">
        <f>_xlfn.XLOOKUP(orders!C761,customers!$A$1:$A$1001,customers!$G$1:$G$1001,,0)</f>
        <v>United States</v>
      </c>
      <c r="I761" t="str">
        <f>INDEX(products!$A$1:$G$49,MATCH(orders!$D761, products!$A$1:$A$49,0), MATCH(orders!I$1,products!$A$1:$G$1,0))</f>
        <v>Lib</v>
      </c>
      <c r="J761" t="str">
        <f>INDEX(products!$A$1:$G$49,MATCH(orders!$D761, products!$A$1:$A$49,0), MATCH(orders!J$1,products!$A$1:$G$1,0))</f>
        <v>D</v>
      </c>
      <c r="K761" s="4">
        <f>INDEX(products!$A$1:$G$49,MATCH(orders!$D761, products!$A$1:$A$49,0), MATCH(orders!K$1,products!$A$1:$G$1,0))</f>
        <v>2.5</v>
      </c>
      <c r="L761" s="5">
        <f>INDEX(products!$A$1:$G$49,MATCH(orders!$D761, products!$A$1:$A$49,0), MATCH(orders!L$1,products!$A$1:$G$1,0))</f>
        <v>29.784999999999997</v>
      </c>
      <c r="M761" s="5">
        <f t="shared" si="33"/>
        <v>29.784999999999997</v>
      </c>
      <c r="N761" t="str">
        <f t="shared" si="34"/>
        <v>Liberica</v>
      </c>
      <c r="O761" t="str">
        <f t="shared" si="35"/>
        <v>Dark</v>
      </c>
      <c r="P761" t="str">
        <f>_xlfn.XLOOKUP(Table1[[#This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IF(_xlfn.XLOOKUP(C762,customers!$A$1:$A$1001,customers!C761:C1761,,0)=0,"",_xlfn.XLOOKUP(C762,customers!$A$1:$A$1001,customers!C761:C1761,,0))</f>
        <v/>
      </c>
      <c r="H762" s="2" t="str">
        <f>_xlfn.XLOOKUP(orders!C762,customers!$A$1:$A$1001,customers!$G$1:$G$1001,,0)</f>
        <v>United States</v>
      </c>
      <c r="I762" t="str">
        <f>INDEX(products!$A$1:$G$49,MATCH(orders!$D762, products!$A$1:$A$49,0), MATCH(orders!I$1,products!$A$1:$G$1,0))</f>
        <v>Exc</v>
      </c>
      <c r="J762" t="str">
        <f>INDEX(products!$A$1:$G$49,MATCH(orders!$D762, products!$A$1:$A$49,0), MATCH(orders!J$1,products!$A$1:$G$1,0))</f>
        <v>L</v>
      </c>
      <c r="K762" s="4">
        <f>INDEX(products!$A$1:$G$49,MATCH(orders!$D762, products!$A$1:$A$49,0), MATCH(orders!K$1,products!$A$1:$G$1,0))</f>
        <v>0.5</v>
      </c>
      <c r="L762" s="5">
        <f>INDEX(products!$A$1:$G$49,MATCH(orders!$D762, products!$A$1:$A$49,0), MATCH(orders!L$1,products!$A$1:$G$1,0))</f>
        <v>8.91</v>
      </c>
      <c r="M762" s="5">
        <f t="shared" si="33"/>
        <v>44.55</v>
      </c>
      <c r="N762" t="str">
        <f t="shared" si="34"/>
        <v>Excelsa</v>
      </c>
      <c r="O762" t="str">
        <f t="shared" si="35"/>
        <v>Light</v>
      </c>
      <c r="P762" t="str">
        <f>_xlfn.XLOOKUP(Table1[[#This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IF(_xlfn.XLOOKUP(C763,customers!$A$1:$A$1001,customers!C762:C1762,,0)=0,"",_xlfn.XLOOKUP(C763,customers!$A$1:$A$1001,customers!C762:C1762,,0))</f>
        <v/>
      </c>
      <c r="H763" s="2" t="str">
        <f>_xlfn.XLOOKUP(orders!C763,customers!$A$1:$A$1001,customers!$G$1:$G$1001,,0)</f>
        <v>United States</v>
      </c>
      <c r="I763" t="str">
        <f>INDEX(products!$A$1:$G$49,MATCH(orders!$D763, products!$A$1:$A$49,0), MATCH(orders!I$1,products!$A$1:$G$1,0))</f>
        <v>Exc</v>
      </c>
      <c r="J763" t="str">
        <f>INDEX(products!$A$1:$G$49,MATCH(orders!$D763, products!$A$1:$A$49,0), MATCH(orders!J$1,products!$A$1:$G$1,0))</f>
        <v>L</v>
      </c>
      <c r="K763" s="4">
        <f>INDEX(products!$A$1:$G$49,MATCH(orders!$D763, products!$A$1:$A$49,0), MATCH(orders!K$1,products!$A$1:$G$1,0))</f>
        <v>1</v>
      </c>
      <c r="L763" s="5">
        <f>INDEX(products!$A$1:$G$49,MATCH(orders!$D763, products!$A$1:$A$49,0), MATCH(orders!L$1,products!$A$1:$G$1,0))</f>
        <v>14.85</v>
      </c>
      <c r="M763" s="5">
        <f t="shared" si="33"/>
        <v>89.1</v>
      </c>
      <c r="N763" t="str">
        <f t="shared" si="34"/>
        <v>Excelsa</v>
      </c>
      <c r="O763" t="str">
        <f t="shared" si="35"/>
        <v>Light</v>
      </c>
      <c r="P763" t="str">
        <f>_xlfn.XLOOKUP(Table1[[#This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IF(_xlfn.XLOOKUP(C764,customers!$A$1:$A$1001,customers!C763:C1763,,0)=0,"",_xlfn.XLOOKUP(C764,customers!$A$1:$A$1001,customers!C763:C1763,,0))</f>
        <v/>
      </c>
      <c r="H764" s="2" t="str">
        <f>_xlfn.XLOOKUP(orders!C764,customers!$A$1:$A$1001,customers!$G$1:$G$1001,,0)</f>
        <v>United Kingdom</v>
      </c>
      <c r="I764" t="str">
        <f>INDEX(products!$A$1:$G$49,MATCH(orders!$D764, products!$A$1:$A$49,0), MATCH(orders!I$1,products!$A$1:$G$1,0))</f>
        <v>Lib</v>
      </c>
      <c r="J764" t="str">
        <f>INDEX(products!$A$1:$G$49,MATCH(orders!$D764, products!$A$1:$A$49,0), MATCH(orders!J$1,products!$A$1:$G$1,0))</f>
        <v>M</v>
      </c>
      <c r="K764" s="4">
        <f>INDEX(products!$A$1:$G$49,MATCH(orders!$D764, products!$A$1:$A$49,0), MATCH(orders!K$1,products!$A$1:$G$1,0))</f>
        <v>0.5</v>
      </c>
      <c r="L764" s="5">
        <f>INDEX(products!$A$1:$G$49,MATCH(orders!$D764, products!$A$1:$A$49,0), MATCH(orders!L$1,products!$A$1:$G$1,0))</f>
        <v>8.73</v>
      </c>
      <c r="M764" s="5">
        <f t="shared" si="33"/>
        <v>43.650000000000006</v>
      </c>
      <c r="N764" t="str">
        <f t="shared" si="34"/>
        <v>Liberica</v>
      </c>
      <c r="O764" t="str">
        <f t="shared" si="35"/>
        <v>Medium</v>
      </c>
      <c r="P764" t="str">
        <f>_xlfn.XLOOKUP(Table1[[#This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IF(_xlfn.XLOOKUP(C765,customers!$A$1:$A$1001,customers!C764:C1764,,0)=0,"",_xlfn.XLOOKUP(C765,customers!$A$1:$A$1001,customers!C764:C1764,,0))</f>
        <v/>
      </c>
      <c r="H765" s="2" t="str">
        <f>_xlfn.XLOOKUP(orders!C765,customers!$A$1:$A$1001,customers!$G$1:$G$1001,,0)</f>
        <v>United States</v>
      </c>
      <c r="I765" t="str">
        <f>INDEX(products!$A$1:$G$49,MATCH(orders!$D765, products!$A$1:$A$49,0), MATCH(orders!I$1,products!$A$1:$G$1,0))</f>
        <v>Ara</v>
      </c>
      <c r="J765" t="str">
        <f>INDEX(products!$A$1:$G$49,MATCH(orders!$D765, products!$A$1:$A$49,0), MATCH(orders!J$1,products!$A$1:$G$1,0))</f>
        <v>L</v>
      </c>
      <c r="K765" s="4">
        <f>INDEX(products!$A$1:$G$49,MATCH(orders!$D765, products!$A$1:$A$49,0), MATCH(orders!K$1,products!$A$1:$G$1,0))</f>
        <v>0.5</v>
      </c>
      <c r="L765" s="5">
        <f>INDEX(products!$A$1:$G$49,MATCH(orders!$D765, products!$A$1:$A$49,0), MATCH(orders!L$1,products!$A$1:$G$1,0))</f>
        <v>7.77</v>
      </c>
      <c r="M765" s="5">
        <f t="shared" si="33"/>
        <v>23.31</v>
      </c>
      <c r="N765" t="str">
        <f t="shared" si="34"/>
        <v>Arabica</v>
      </c>
      <c r="O765" t="str">
        <f t="shared" si="35"/>
        <v>Light</v>
      </c>
      <c r="P765" t="str">
        <f>_xlfn.XLOOKUP(Table1[[#This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IF(_xlfn.XLOOKUP(C766,customers!$A$1:$A$1001,customers!C765:C1765,,0)=0,"",_xlfn.XLOOKUP(C766,customers!$A$1:$A$1001,customers!C765:C1765,,0))</f>
        <v/>
      </c>
      <c r="H766" s="2" t="str">
        <f>_xlfn.XLOOKUP(orders!C766,customers!$A$1:$A$1001,customers!$G$1:$G$1001,,0)</f>
        <v>United States</v>
      </c>
      <c r="I766" t="str">
        <f>INDEX(products!$A$1:$G$49,MATCH(orders!$D766, products!$A$1:$A$49,0), MATCH(orders!I$1,products!$A$1:$G$1,0))</f>
        <v>Ara</v>
      </c>
      <c r="J766" t="str">
        <f>INDEX(products!$A$1:$G$49,MATCH(orders!$D766, products!$A$1:$A$49,0), MATCH(orders!J$1,products!$A$1:$G$1,0))</f>
        <v>L</v>
      </c>
      <c r="K766" s="4">
        <f>INDEX(products!$A$1:$G$49,MATCH(orders!$D766, products!$A$1:$A$49,0), MATCH(orders!K$1,products!$A$1:$G$1,0))</f>
        <v>2.5</v>
      </c>
      <c r="L766" s="5">
        <f>INDEX(products!$A$1:$G$49,MATCH(orders!$D766, products!$A$1:$A$49,0), MATCH(orders!L$1,products!$A$1:$G$1,0))</f>
        <v>29.784999999999997</v>
      </c>
      <c r="M766" s="5">
        <f t="shared" si="33"/>
        <v>178.70999999999998</v>
      </c>
      <c r="N766" t="str">
        <f t="shared" si="34"/>
        <v>Arabica</v>
      </c>
      <c r="O766" t="str">
        <f t="shared" si="35"/>
        <v>Light</v>
      </c>
      <c r="P766" t="str">
        <f>_xlfn.XLOOKUP(Table1[[#This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IF(_xlfn.XLOOKUP(C767,customers!$A$1:$A$1001,customers!C766:C1766,,0)=0,"",_xlfn.XLOOKUP(C767,customers!$A$1:$A$1001,customers!C766:C1766,,0))</f>
        <v/>
      </c>
      <c r="H767" s="2" t="str">
        <f>_xlfn.XLOOKUP(orders!C767,customers!$A$1:$A$1001,customers!$G$1:$G$1001,,0)</f>
        <v>United States</v>
      </c>
      <c r="I767" t="str">
        <f>INDEX(products!$A$1:$G$49,MATCH(orders!$D767, products!$A$1:$A$49,0), MATCH(orders!I$1,products!$A$1:$G$1,0))</f>
        <v>Rob</v>
      </c>
      <c r="J767" t="str">
        <f>INDEX(products!$A$1:$G$49,MATCH(orders!$D767, products!$A$1:$A$49,0), MATCH(orders!J$1,products!$A$1:$G$1,0))</f>
        <v>M</v>
      </c>
      <c r="K767" s="4">
        <f>INDEX(products!$A$1:$G$49,MATCH(orders!$D767, products!$A$1:$A$49,0), MATCH(orders!K$1,products!$A$1:$G$1,0))</f>
        <v>1</v>
      </c>
      <c r="L767" s="5">
        <f>INDEX(products!$A$1:$G$49,MATCH(orders!$D767, products!$A$1:$A$49,0), MATCH(orders!L$1,products!$A$1:$G$1,0))</f>
        <v>9.9499999999999993</v>
      </c>
      <c r="M767" s="5">
        <f t="shared" si="33"/>
        <v>59.699999999999996</v>
      </c>
      <c r="N767" t="str">
        <f t="shared" si="34"/>
        <v>Robusta</v>
      </c>
      <c r="O767" t="str">
        <f t="shared" si="35"/>
        <v>Medium</v>
      </c>
      <c r="P767" t="str">
        <f>_xlfn.XLOOKUP(Table1[[#This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IF(_xlfn.XLOOKUP(C768,customers!$A$1:$A$1001,customers!C767:C1767,,0)=0,"",_xlfn.XLOOKUP(C768,customers!$A$1:$A$1001,customers!C767:C1767,,0))</f>
        <v/>
      </c>
      <c r="H768" s="2" t="str">
        <f>_xlfn.XLOOKUP(orders!C768,customers!$A$1:$A$1001,customers!$G$1:$G$1001,,0)</f>
        <v>United States</v>
      </c>
      <c r="I768" t="str">
        <f>INDEX(products!$A$1:$G$49,MATCH(orders!$D768, products!$A$1:$A$49,0), MATCH(orders!I$1,products!$A$1:$G$1,0))</f>
        <v>Ara</v>
      </c>
      <c r="J768" t="str">
        <f>INDEX(products!$A$1:$G$49,MATCH(orders!$D768, products!$A$1:$A$49,0), MATCH(orders!J$1,products!$A$1:$G$1,0))</f>
        <v>L</v>
      </c>
      <c r="K768" s="4">
        <f>INDEX(products!$A$1:$G$49,MATCH(orders!$D768, products!$A$1:$A$49,0), MATCH(orders!K$1,products!$A$1:$G$1,0))</f>
        <v>0.5</v>
      </c>
      <c r="L768" s="5">
        <f>INDEX(products!$A$1:$G$49,MATCH(orders!$D768, products!$A$1:$A$49,0), MATCH(orders!L$1,products!$A$1:$G$1,0))</f>
        <v>7.77</v>
      </c>
      <c r="M768" s="5">
        <f t="shared" si="33"/>
        <v>15.54</v>
      </c>
      <c r="N768" t="str">
        <f t="shared" si="34"/>
        <v>Arabica</v>
      </c>
      <c r="O768" t="str">
        <f t="shared" si="35"/>
        <v>Light</v>
      </c>
      <c r="P768" t="str">
        <f>_xlfn.XLOOKUP(Table1[[#This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IF(_xlfn.XLOOKUP(C769,customers!$A$1:$A$1001,customers!C768:C1768,,0)=0,"",_xlfn.XLOOKUP(C769,customers!$A$1:$A$1001,customers!C768:C1768,,0))</f>
        <v/>
      </c>
      <c r="H769" s="2" t="str">
        <f>_xlfn.XLOOKUP(orders!C769,customers!$A$1:$A$1001,customers!$G$1:$G$1001,,0)</f>
        <v>United States</v>
      </c>
      <c r="I769" t="str">
        <f>INDEX(products!$A$1:$G$49,MATCH(orders!$D769, products!$A$1:$A$49,0), MATCH(orders!I$1,products!$A$1:$G$1,0))</f>
        <v>Ara</v>
      </c>
      <c r="J769" t="str">
        <f>INDEX(products!$A$1:$G$49,MATCH(orders!$D769, products!$A$1:$A$49,0), MATCH(orders!J$1,products!$A$1:$G$1,0))</f>
        <v>L</v>
      </c>
      <c r="K769" s="4">
        <f>INDEX(products!$A$1:$G$49,MATCH(orders!$D769, products!$A$1:$A$49,0), MATCH(orders!K$1,products!$A$1:$G$1,0))</f>
        <v>2.5</v>
      </c>
      <c r="L769" s="5">
        <f>INDEX(products!$A$1:$G$49,MATCH(orders!$D769, products!$A$1:$A$49,0), MATCH(orders!L$1,products!$A$1:$G$1,0))</f>
        <v>29.784999999999997</v>
      </c>
      <c r="M769" s="5">
        <f t="shared" si="33"/>
        <v>89.35499999999999</v>
      </c>
      <c r="N769" t="str">
        <f t="shared" si="34"/>
        <v>Arabica</v>
      </c>
      <c r="O769" t="str">
        <f t="shared" si="35"/>
        <v>Light</v>
      </c>
      <c r="P769" t="str">
        <f>_xlfn.XLOOKUP(Table1[[#This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IF(_xlfn.XLOOKUP(C770,customers!$A$1:$A$1001,customers!C769:C1769,,0)=0,"",_xlfn.XLOOKUP(C770,customers!$A$1:$A$1001,customers!C769:C1769,,0))</f>
        <v/>
      </c>
      <c r="H770" s="2" t="str">
        <f>_xlfn.XLOOKUP(orders!C770,customers!$A$1:$A$1001,customers!$G$1:$G$1001,,0)</f>
        <v>United States</v>
      </c>
      <c r="I770" t="str">
        <f>INDEX(products!$A$1:$G$49,MATCH(orders!$D770, products!$A$1:$A$49,0), MATCH(orders!I$1,products!$A$1:$G$1,0))</f>
        <v>Rob</v>
      </c>
      <c r="J770" t="str">
        <f>INDEX(products!$A$1:$G$49,MATCH(orders!$D770, products!$A$1:$A$49,0), MATCH(orders!J$1,products!$A$1:$G$1,0))</f>
        <v>L</v>
      </c>
      <c r="K770" s="4">
        <f>INDEX(products!$A$1:$G$49,MATCH(orders!$D770, products!$A$1:$A$49,0), MATCH(orders!K$1,products!$A$1:$G$1,0))</f>
        <v>1</v>
      </c>
      <c r="L770" s="5">
        <f>INDEX(products!$A$1:$G$49,MATCH(orders!$D770, products!$A$1:$A$49,0), MATCH(orders!L$1,products!$A$1:$G$1,0))</f>
        <v>11.95</v>
      </c>
      <c r="M770" s="5">
        <f t="shared" si="33"/>
        <v>23.9</v>
      </c>
      <c r="N770" t="str">
        <f t="shared" si="34"/>
        <v>Robusta</v>
      </c>
      <c r="O770" t="str">
        <f t="shared" si="35"/>
        <v>Light</v>
      </c>
      <c r="P770" t="str">
        <f>_xlfn.XLOOKUP(Table1[[#This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IF(_xlfn.XLOOKUP(C771,customers!$A$1:$A$1001,customers!C770:C1770,,0)=0,"",_xlfn.XLOOKUP(C771,customers!$A$1:$A$1001,customers!C770:C1770,,0))</f>
        <v/>
      </c>
      <c r="H771" s="2" t="str">
        <f>_xlfn.XLOOKUP(orders!C771,customers!$A$1:$A$1001,customers!$G$1:$G$1001,,0)</f>
        <v>United Kingdom</v>
      </c>
      <c r="I771" t="str">
        <f>INDEX(products!$A$1:$G$49,MATCH(orders!$D771, products!$A$1:$A$49,0), MATCH(orders!I$1,products!$A$1:$G$1,0))</f>
        <v>Rob</v>
      </c>
      <c r="J771" t="str">
        <f>INDEX(products!$A$1:$G$49,MATCH(orders!$D771, products!$A$1:$A$49,0), MATCH(orders!J$1,products!$A$1:$G$1,0))</f>
        <v>M</v>
      </c>
      <c r="K771" s="4">
        <f>INDEX(products!$A$1:$G$49,MATCH(orders!$D771, products!$A$1:$A$49,0), MATCH(orders!K$1,products!$A$1:$G$1,0))</f>
        <v>2.5</v>
      </c>
      <c r="L771" s="5">
        <f>INDEX(products!$A$1:$G$49,MATCH(orders!$D771, products!$A$1:$A$49,0), MATCH(orders!L$1,products!$A$1:$G$1,0))</f>
        <v>22.884999999999998</v>
      </c>
      <c r="M771" s="5">
        <f t="shared" ref="M771:M834" si="36">L771*E771</f>
        <v>137.31</v>
      </c>
      <c r="N771" t="str">
        <f t="shared" ref="N771:N834" si="37">IF(I771="Rob","Robusta",IF(I771="Exc", "Excelsa", IF(I771="Ara","Arabica", IF(I771="lib","Liberica",""))))</f>
        <v>Robusta</v>
      </c>
      <c r="O771" t="str">
        <f t="shared" ref="O771:O834" si="38">IF(J771="M","Medium",IF(J771="L","Light",IF(J771="D","Dark", "")))</f>
        <v>Medium</v>
      </c>
      <c r="P771" t="str">
        <f>_xlfn.XLOOKUP(Table1[[#This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IF(_xlfn.XLOOKUP(C772,customers!$A$1:$A$1001,customers!C771:C1771,,0)=0,"",_xlfn.XLOOKUP(C772,customers!$A$1:$A$1001,customers!C771:C1771,,0))</f>
        <v/>
      </c>
      <c r="H772" s="2" t="str">
        <f>_xlfn.XLOOKUP(orders!C772,customers!$A$1:$A$1001,customers!$G$1:$G$1001,,0)</f>
        <v>United States</v>
      </c>
      <c r="I772" t="str">
        <f>INDEX(products!$A$1:$G$49,MATCH(orders!$D772, products!$A$1:$A$49,0), MATCH(orders!I$1,products!$A$1:$G$1,0))</f>
        <v>Ara</v>
      </c>
      <c r="J772" t="str">
        <f>INDEX(products!$A$1:$G$49,MATCH(orders!$D772, products!$A$1:$A$49,0), MATCH(orders!J$1,products!$A$1:$G$1,0))</f>
        <v>D</v>
      </c>
      <c r="K772" s="4">
        <f>INDEX(products!$A$1:$G$49,MATCH(orders!$D772, products!$A$1:$A$49,0), MATCH(orders!K$1,products!$A$1:$G$1,0))</f>
        <v>1</v>
      </c>
      <c r="L772" s="5">
        <f>INDEX(products!$A$1:$G$49,MATCH(orders!$D772, products!$A$1:$A$49,0), MATCH(orders!L$1,products!$A$1:$G$1,0))</f>
        <v>9.9499999999999993</v>
      </c>
      <c r="M772" s="5">
        <f t="shared" si="36"/>
        <v>9.9499999999999993</v>
      </c>
      <c r="N772" t="str">
        <f t="shared" si="37"/>
        <v>Arabica</v>
      </c>
      <c r="O772" t="str">
        <f t="shared" si="38"/>
        <v>Dark</v>
      </c>
      <c r="P772" t="str">
        <f>_xlfn.XLOOKUP(Table1[[#This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IF(_xlfn.XLOOKUP(C773,customers!$A$1:$A$1001,customers!C772:C1772,,0)=0,"",_xlfn.XLOOKUP(C773,customers!$A$1:$A$1001,customers!C772:C1772,,0))</f>
        <v/>
      </c>
      <c r="H773" s="2" t="str">
        <f>_xlfn.XLOOKUP(orders!C773,customers!$A$1:$A$1001,customers!$G$1:$G$1001,,0)</f>
        <v>United States</v>
      </c>
      <c r="I773" t="str">
        <f>INDEX(products!$A$1:$G$49,MATCH(orders!$D773, products!$A$1:$A$49,0), MATCH(orders!I$1,products!$A$1:$G$1,0))</f>
        <v>Rob</v>
      </c>
      <c r="J773" t="str">
        <f>INDEX(products!$A$1:$G$49,MATCH(orders!$D773, products!$A$1:$A$49,0), MATCH(orders!J$1,products!$A$1:$G$1,0))</f>
        <v>L</v>
      </c>
      <c r="K773" s="4">
        <f>INDEX(products!$A$1:$G$49,MATCH(orders!$D773, products!$A$1:$A$49,0), MATCH(orders!K$1,products!$A$1:$G$1,0))</f>
        <v>0.5</v>
      </c>
      <c r="L773" s="5">
        <f>INDEX(products!$A$1:$G$49,MATCH(orders!$D773, products!$A$1:$A$49,0), MATCH(orders!L$1,products!$A$1:$G$1,0))</f>
        <v>7.169999999999999</v>
      </c>
      <c r="M773" s="5">
        <f t="shared" si="36"/>
        <v>21.509999999999998</v>
      </c>
      <c r="N773" t="str">
        <f t="shared" si="37"/>
        <v>Robusta</v>
      </c>
      <c r="O773" t="str">
        <f t="shared" si="38"/>
        <v>Light</v>
      </c>
      <c r="P773" t="str">
        <f>_xlfn.XLOOKUP(Table1[[#This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IF(_xlfn.XLOOKUP(C774,customers!$A$1:$A$1001,customers!C773:C1773,,0)=0,"",_xlfn.XLOOKUP(C774,customers!$A$1:$A$1001,customers!C773:C1773,,0))</f>
        <v/>
      </c>
      <c r="H774" s="2" t="str">
        <f>_xlfn.XLOOKUP(orders!C774,customers!$A$1:$A$1001,customers!$G$1:$G$1001,,0)</f>
        <v>United States</v>
      </c>
      <c r="I774" t="str">
        <f>INDEX(products!$A$1:$G$49,MATCH(orders!$D774, products!$A$1:$A$49,0), MATCH(orders!I$1,products!$A$1:$G$1,0))</f>
        <v>Exc</v>
      </c>
      <c r="J774" t="str">
        <f>INDEX(products!$A$1:$G$49,MATCH(orders!$D774, products!$A$1:$A$49,0), MATCH(orders!J$1,products!$A$1:$G$1,0))</f>
        <v>M</v>
      </c>
      <c r="K774" s="4">
        <f>INDEX(products!$A$1:$G$49,MATCH(orders!$D774, products!$A$1:$A$49,0), MATCH(orders!K$1,products!$A$1:$G$1,0))</f>
        <v>1</v>
      </c>
      <c r="L774" s="5">
        <f>INDEX(products!$A$1:$G$49,MATCH(orders!$D774, products!$A$1:$A$49,0), MATCH(orders!L$1,products!$A$1:$G$1,0))</f>
        <v>13.75</v>
      </c>
      <c r="M774" s="5">
        <f t="shared" si="36"/>
        <v>82.5</v>
      </c>
      <c r="N774" t="str">
        <f t="shared" si="37"/>
        <v>Excelsa</v>
      </c>
      <c r="O774" t="str">
        <f t="shared" si="38"/>
        <v>Medium</v>
      </c>
      <c r="P774" t="str">
        <f>_xlfn.XLOOKUP(Table1[[#This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IF(_xlfn.XLOOKUP(C775,customers!$A$1:$A$1001,customers!C774:C1774,,0)=0,"",_xlfn.XLOOKUP(C775,customers!$A$1:$A$1001,customers!C774:C1774,,0))</f>
        <v/>
      </c>
      <c r="H775" s="2" t="str">
        <f>_xlfn.XLOOKUP(orders!C775,customers!$A$1:$A$1001,customers!$G$1:$G$1001,,0)</f>
        <v>Ireland</v>
      </c>
      <c r="I775" t="str">
        <f>INDEX(products!$A$1:$G$49,MATCH(orders!$D775, products!$A$1:$A$49,0), MATCH(orders!I$1,products!$A$1:$G$1,0))</f>
        <v>Lib</v>
      </c>
      <c r="J775" t="str">
        <f>INDEX(products!$A$1:$G$49,MATCH(orders!$D775, products!$A$1:$A$49,0), MATCH(orders!J$1,products!$A$1:$G$1,0))</f>
        <v>M</v>
      </c>
      <c r="K775" s="4">
        <f>INDEX(products!$A$1:$G$49,MATCH(orders!$D775, products!$A$1:$A$49,0), MATCH(orders!K$1,products!$A$1:$G$1,0))</f>
        <v>0.2</v>
      </c>
      <c r="L775" s="5">
        <f>INDEX(products!$A$1:$G$49,MATCH(orders!$D775, products!$A$1:$A$49,0), MATCH(orders!L$1,products!$A$1:$G$1,0))</f>
        <v>4.3650000000000002</v>
      </c>
      <c r="M775" s="5">
        <f t="shared" si="36"/>
        <v>8.73</v>
      </c>
      <c r="N775" t="str">
        <f t="shared" si="37"/>
        <v>Liberica</v>
      </c>
      <c r="O775" t="str">
        <f t="shared" si="38"/>
        <v>Medium</v>
      </c>
      <c r="P775" t="str">
        <f>_xlfn.XLOOKUP(Table1[[#This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IF(_xlfn.XLOOKUP(C776,customers!$A$1:$A$1001,customers!C775:C1775,,0)=0,"",_xlfn.XLOOKUP(C776,customers!$A$1:$A$1001,customers!C775:C1775,,0))</f>
        <v/>
      </c>
      <c r="H776" s="2" t="str">
        <f>_xlfn.XLOOKUP(orders!C776,customers!$A$1:$A$1001,customers!$G$1:$G$1001,,0)</f>
        <v>United States</v>
      </c>
      <c r="I776" t="str">
        <f>INDEX(products!$A$1:$G$49,MATCH(orders!$D776, products!$A$1:$A$49,0), MATCH(orders!I$1,products!$A$1:$G$1,0))</f>
        <v>Rob</v>
      </c>
      <c r="J776" t="str">
        <f>INDEX(products!$A$1:$G$49,MATCH(orders!$D776, products!$A$1:$A$49,0), MATCH(orders!J$1,products!$A$1:$G$1,0))</f>
        <v>M</v>
      </c>
      <c r="K776" s="4">
        <f>INDEX(products!$A$1:$G$49,MATCH(orders!$D776, products!$A$1:$A$49,0), MATCH(orders!K$1,products!$A$1:$G$1,0))</f>
        <v>1</v>
      </c>
      <c r="L776" s="5">
        <f>INDEX(products!$A$1:$G$49,MATCH(orders!$D776, products!$A$1:$A$49,0), MATCH(orders!L$1,products!$A$1:$G$1,0))</f>
        <v>9.9499999999999993</v>
      </c>
      <c r="M776" s="5">
        <f t="shared" si="36"/>
        <v>19.899999999999999</v>
      </c>
      <c r="N776" t="str">
        <f t="shared" si="37"/>
        <v>Robusta</v>
      </c>
      <c r="O776" t="str">
        <f t="shared" si="38"/>
        <v>Medium</v>
      </c>
      <c r="P776" t="str">
        <f>_xlfn.XLOOKUP(Table1[[#This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IF(_xlfn.XLOOKUP(C777,customers!$A$1:$A$1001,customers!C776:C1776,,0)=0,"",_xlfn.XLOOKUP(C777,customers!$A$1:$A$1001,customers!C776:C1776,,0))</f>
        <v/>
      </c>
      <c r="H777" s="2" t="str">
        <f>_xlfn.XLOOKUP(orders!C777,customers!$A$1:$A$1001,customers!$G$1:$G$1001,,0)</f>
        <v>United States</v>
      </c>
      <c r="I777" t="str">
        <f>INDEX(products!$A$1:$G$49,MATCH(orders!$D777, products!$A$1:$A$49,0), MATCH(orders!I$1,products!$A$1:$G$1,0))</f>
        <v>Exc</v>
      </c>
      <c r="J777" t="str">
        <f>INDEX(products!$A$1:$G$49,MATCH(orders!$D777, products!$A$1:$A$49,0), MATCH(orders!J$1,products!$A$1:$G$1,0))</f>
        <v>L</v>
      </c>
      <c r="K777" s="4">
        <f>INDEX(products!$A$1:$G$49,MATCH(orders!$D777, products!$A$1:$A$49,0), MATCH(orders!K$1,products!$A$1:$G$1,0))</f>
        <v>0.5</v>
      </c>
      <c r="L777" s="5">
        <f>INDEX(products!$A$1:$G$49,MATCH(orders!$D777, products!$A$1:$A$49,0), MATCH(orders!L$1,products!$A$1:$G$1,0))</f>
        <v>8.91</v>
      </c>
      <c r="M777" s="5">
        <f t="shared" si="36"/>
        <v>17.82</v>
      </c>
      <c r="N777" t="str">
        <f t="shared" si="37"/>
        <v>Excelsa</v>
      </c>
      <c r="O777" t="str">
        <f t="shared" si="38"/>
        <v>Light</v>
      </c>
      <c r="P777" t="str">
        <f>_xlfn.XLOOKUP(Table1[[#This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IF(_xlfn.XLOOKUP(C778,customers!$A$1:$A$1001,customers!C777:C1777,,0)=0,"",_xlfn.XLOOKUP(C778,customers!$A$1:$A$1001,customers!C777:C1777,,0))</f>
        <v/>
      </c>
      <c r="H778" s="2" t="str">
        <f>_xlfn.XLOOKUP(orders!C778,customers!$A$1:$A$1001,customers!$G$1:$G$1001,,0)</f>
        <v>United States</v>
      </c>
      <c r="I778" t="str">
        <f>INDEX(products!$A$1:$G$49,MATCH(orders!$D778, products!$A$1:$A$49,0), MATCH(orders!I$1,products!$A$1:$G$1,0))</f>
        <v>Ara</v>
      </c>
      <c r="J778" t="str">
        <f>INDEX(products!$A$1:$G$49,MATCH(orders!$D778, products!$A$1:$A$49,0), MATCH(orders!J$1,products!$A$1:$G$1,0))</f>
        <v>M</v>
      </c>
      <c r="K778" s="4">
        <f>INDEX(products!$A$1:$G$49,MATCH(orders!$D778, products!$A$1:$A$49,0), MATCH(orders!K$1,products!$A$1:$G$1,0))</f>
        <v>0.5</v>
      </c>
      <c r="L778" s="5">
        <f>INDEX(products!$A$1:$G$49,MATCH(orders!$D778, products!$A$1:$A$49,0), MATCH(orders!L$1,products!$A$1:$G$1,0))</f>
        <v>6.75</v>
      </c>
      <c r="M778" s="5">
        <f t="shared" si="36"/>
        <v>20.25</v>
      </c>
      <c r="N778" t="str">
        <f t="shared" si="37"/>
        <v>Arabica</v>
      </c>
      <c r="O778" t="str">
        <f t="shared" si="38"/>
        <v>Medium</v>
      </c>
      <c r="P778" t="str">
        <f>_xlfn.XLOOKUP(Table1[[#This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IF(_xlfn.XLOOKUP(C779,customers!$A$1:$A$1001,customers!C778:C1778,,0)=0,"",_xlfn.XLOOKUP(C779,customers!$A$1:$A$1001,customers!C778:C1778,,0))</f>
        <v/>
      </c>
      <c r="H779" s="2" t="str">
        <f>_xlfn.XLOOKUP(orders!C779,customers!$A$1:$A$1001,customers!$G$1:$G$1001,,0)</f>
        <v>United States</v>
      </c>
      <c r="I779" t="str">
        <f>INDEX(products!$A$1:$G$49,MATCH(orders!$D779, products!$A$1:$A$49,0), MATCH(orders!I$1,products!$A$1:$G$1,0))</f>
        <v>Ara</v>
      </c>
      <c r="J779" t="str">
        <f>INDEX(products!$A$1:$G$49,MATCH(orders!$D779, products!$A$1:$A$49,0), MATCH(orders!J$1,products!$A$1:$G$1,0))</f>
        <v>L</v>
      </c>
      <c r="K779" s="4">
        <f>INDEX(products!$A$1:$G$49,MATCH(orders!$D779, products!$A$1:$A$49,0), MATCH(orders!K$1,products!$A$1:$G$1,0))</f>
        <v>2.5</v>
      </c>
      <c r="L779" s="5">
        <f>INDEX(products!$A$1:$G$49,MATCH(orders!$D779, products!$A$1:$A$49,0), MATCH(orders!L$1,products!$A$1:$G$1,0))</f>
        <v>29.784999999999997</v>
      </c>
      <c r="M779" s="5">
        <f t="shared" si="36"/>
        <v>59.569999999999993</v>
      </c>
      <c r="N779" t="str">
        <f t="shared" si="37"/>
        <v>Arabica</v>
      </c>
      <c r="O779" t="str">
        <f t="shared" si="38"/>
        <v>Light</v>
      </c>
      <c r="P779" t="str">
        <f>_xlfn.XLOOKUP(Table1[[#This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IF(_xlfn.XLOOKUP(C780,customers!$A$1:$A$1001,customers!C779:C1779,,0)=0,"",_xlfn.XLOOKUP(C780,customers!$A$1:$A$1001,customers!C779:C1779,,0))</f>
        <v/>
      </c>
      <c r="H780" s="2" t="str">
        <f>_xlfn.XLOOKUP(orders!C780,customers!$A$1:$A$1001,customers!$G$1:$G$1001,,0)</f>
        <v>United States</v>
      </c>
      <c r="I780" t="str">
        <f>INDEX(products!$A$1:$G$49,MATCH(orders!$D780, products!$A$1:$A$49,0), MATCH(orders!I$1,products!$A$1:$G$1,0))</f>
        <v>Lib</v>
      </c>
      <c r="J780" t="str">
        <f>INDEX(products!$A$1:$G$49,MATCH(orders!$D780, products!$A$1:$A$49,0), MATCH(orders!J$1,products!$A$1:$G$1,0))</f>
        <v>L</v>
      </c>
      <c r="K780" s="4">
        <f>INDEX(products!$A$1:$G$49,MATCH(orders!$D780, products!$A$1:$A$49,0), MATCH(orders!K$1,products!$A$1:$G$1,0))</f>
        <v>0.5</v>
      </c>
      <c r="L780" s="5">
        <f>INDEX(products!$A$1:$G$49,MATCH(orders!$D780, products!$A$1:$A$49,0), MATCH(orders!L$1,products!$A$1:$G$1,0))</f>
        <v>9.51</v>
      </c>
      <c r="M780" s="5">
        <f t="shared" si="36"/>
        <v>19.02</v>
      </c>
      <c r="N780" t="str">
        <f t="shared" si="37"/>
        <v>Liberica</v>
      </c>
      <c r="O780" t="str">
        <f t="shared" si="38"/>
        <v>Light</v>
      </c>
      <c r="P780" t="str">
        <f>_xlfn.XLOOKUP(Table1[[#This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IF(_xlfn.XLOOKUP(C781,customers!$A$1:$A$1001,customers!C780:C1780,,0)=0,"",_xlfn.XLOOKUP(C781,customers!$A$1:$A$1001,customers!C780:C1780,,0))</f>
        <v/>
      </c>
      <c r="H781" s="2" t="str">
        <f>_xlfn.XLOOKUP(orders!C781,customers!$A$1:$A$1001,customers!$G$1:$G$1001,,0)</f>
        <v>United States</v>
      </c>
      <c r="I781" t="str">
        <f>INDEX(products!$A$1:$G$49,MATCH(orders!$D781, products!$A$1:$A$49,0), MATCH(orders!I$1,products!$A$1:$G$1,0))</f>
        <v>Lib</v>
      </c>
      <c r="J781" t="str">
        <f>INDEX(products!$A$1:$G$49,MATCH(orders!$D781, products!$A$1:$A$49,0), MATCH(orders!J$1,products!$A$1:$G$1,0))</f>
        <v>D</v>
      </c>
      <c r="K781" s="4">
        <f>INDEX(products!$A$1:$G$49,MATCH(orders!$D781, products!$A$1:$A$49,0), MATCH(orders!K$1,products!$A$1:$G$1,0))</f>
        <v>1</v>
      </c>
      <c r="L781" s="5">
        <f>INDEX(products!$A$1:$G$49,MATCH(orders!$D781, products!$A$1:$A$49,0), MATCH(orders!L$1,products!$A$1:$G$1,0))</f>
        <v>12.95</v>
      </c>
      <c r="M781" s="5">
        <f t="shared" si="36"/>
        <v>77.699999999999989</v>
      </c>
      <c r="N781" t="str">
        <f t="shared" si="37"/>
        <v>Liberica</v>
      </c>
      <c r="O781" t="str">
        <f t="shared" si="38"/>
        <v>Dark</v>
      </c>
      <c r="P781" t="str">
        <f>_xlfn.XLOOKUP(Table1[[#This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IF(_xlfn.XLOOKUP(C782,customers!$A$1:$A$1001,customers!C781:C1781,,0)=0,"",_xlfn.XLOOKUP(C782,customers!$A$1:$A$1001,customers!C781:C1781,,0))</f>
        <v/>
      </c>
      <c r="H782" s="2" t="str">
        <f>_xlfn.XLOOKUP(orders!C782,customers!$A$1:$A$1001,customers!$G$1:$G$1001,,0)</f>
        <v>United States</v>
      </c>
      <c r="I782" t="str">
        <f>INDEX(products!$A$1:$G$49,MATCH(orders!$D782, products!$A$1:$A$49,0), MATCH(orders!I$1,products!$A$1:$G$1,0))</f>
        <v>Exc</v>
      </c>
      <c r="J782" t="str">
        <f>INDEX(products!$A$1:$G$49,MATCH(orders!$D782, products!$A$1:$A$49,0), MATCH(orders!J$1,products!$A$1:$G$1,0))</f>
        <v>M</v>
      </c>
      <c r="K782" s="4">
        <f>INDEX(products!$A$1:$G$49,MATCH(orders!$D782, products!$A$1:$A$49,0), MATCH(orders!K$1,products!$A$1:$G$1,0))</f>
        <v>1</v>
      </c>
      <c r="L782" s="5">
        <f>INDEX(products!$A$1:$G$49,MATCH(orders!$D782, products!$A$1:$A$49,0), MATCH(orders!L$1,products!$A$1:$G$1,0))</f>
        <v>13.75</v>
      </c>
      <c r="M782" s="5">
        <f t="shared" si="36"/>
        <v>41.25</v>
      </c>
      <c r="N782" t="str">
        <f t="shared" si="37"/>
        <v>Excelsa</v>
      </c>
      <c r="O782" t="str">
        <f t="shared" si="38"/>
        <v>Medium</v>
      </c>
      <c r="P782" t="str">
        <f>_xlfn.XLOOKUP(Table1[[#This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IF(_xlfn.XLOOKUP(C783,customers!$A$1:$A$1001,customers!C782:C1782,,0)=0,"",_xlfn.XLOOKUP(C783,customers!$A$1:$A$1001,customers!C782:C1782,,0))</f>
        <v/>
      </c>
      <c r="H783" s="2" t="str">
        <f>_xlfn.XLOOKUP(orders!C783,customers!$A$1:$A$1001,customers!$G$1:$G$1001,,0)</f>
        <v>United States</v>
      </c>
      <c r="I783" t="str">
        <f>INDEX(products!$A$1:$G$49,MATCH(orders!$D783, products!$A$1:$A$49,0), MATCH(orders!I$1,products!$A$1:$G$1,0))</f>
        <v>Lib</v>
      </c>
      <c r="J783" t="str">
        <f>INDEX(products!$A$1:$G$49,MATCH(orders!$D783, products!$A$1:$A$49,0), MATCH(orders!J$1,products!$A$1:$G$1,0))</f>
        <v>L</v>
      </c>
      <c r="K783" s="4">
        <f>INDEX(products!$A$1:$G$49,MATCH(orders!$D783, products!$A$1:$A$49,0), MATCH(orders!K$1,products!$A$1:$G$1,0))</f>
        <v>2.5</v>
      </c>
      <c r="L783" s="5">
        <f>INDEX(products!$A$1:$G$49,MATCH(orders!$D783, products!$A$1:$A$49,0), MATCH(orders!L$1,products!$A$1:$G$1,0))</f>
        <v>36.454999999999998</v>
      </c>
      <c r="M783" s="5">
        <f t="shared" si="36"/>
        <v>145.82</v>
      </c>
      <c r="N783" t="str">
        <f t="shared" si="37"/>
        <v>Liberica</v>
      </c>
      <c r="O783" t="str">
        <f t="shared" si="38"/>
        <v>Light</v>
      </c>
      <c r="P783" t="str">
        <f>_xlfn.XLOOKUP(Table1[[#This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IF(_xlfn.XLOOKUP(C784,customers!$A$1:$A$1001,customers!C783:C1783,,0)=0,"",_xlfn.XLOOKUP(C784,customers!$A$1:$A$1001,customers!C783:C1783,,0))</f>
        <v/>
      </c>
      <c r="H784" s="2" t="str">
        <f>_xlfn.XLOOKUP(orders!C784,customers!$A$1:$A$1001,customers!$G$1:$G$1001,,0)</f>
        <v>Ireland</v>
      </c>
      <c r="I784" t="str">
        <f>INDEX(products!$A$1:$G$49,MATCH(orders!$D784, products!$A$1:$A$49,0), MATCH(orders!I$1,products!$A$1:$G$1,0))</f>
        <v>Exc</v>
      </c>
      <c r="J784" t="str">
        <f>INDEX(products!$A$1:$G$49,MATCH(orders!$D784, products!$A$1:$A$49,0), MATCH(orders!J$1,products!$A$1:$G$1,0))</f>
        <v>L</v>
      </c>
      <c r="K784" s="4">
        <f>INDEX(products!$A$1:$G$49,MATCH(orders!$D784, products!$A$1:$A$49,0), MATCH(orders!K$1,products!$A$1:$G$1,0))</f>
        <v>0.2</v>
      </c>
      <c r="L784" s="5">
        <f>INDEX(products!$A$1:$G$49,MATCH(orders!$D784, products!$A$1:$A$49,0), MATCH(orders!L$1,products!$A$1:$G$1,0))</f>
        <v>4.4550000000000001</v>
      </c>
      <c r="M784" s="5">
        <f t="shared" si="36"/>
        <v>26.73</v>
      </c>
      <c r="N784" t="str">
        <f t="shared" si="37"/>
        <v>Excelsa</v>
      </c>
      <c r="O784" t="str">
        <f t="shared" si="38"/>
        <v>Light</v>
      </c>
      <c r="P784" t="str">
        <f>_xlfn.XLOOKUP(Table1[[#This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IF(_xlfn.XLOOKUP(C785,customers!$A$1:$A$1001,customers!C784:C1784,,0)=0,"",_xlfn.XLOOKUP(C785,customers!$A$1:$A$1001,customers!C784:C1784,,0))</f>
        <v/>
      </c>
      <c r="H785" s="2" t="str">
        <f>_xlfn.XLOOKUP(orders!C785,customers!$A$1:$A$1001,customers!$G$1:$G$1001,,0)</f>
        <v>United States</v>
      </c>
      <c r="I785" t="str">
        <f>INDEX(products!$A$1:$G$49,MATCH(orders!$D785, products!$A$1:$A$49,0), MATCH(orders!I$1,products!$A$1:$G$1,0))</f>
        <v>Lib</v>
      </c>
      <c r="J785" t="str">
        <f>INDEX(products!$A$1:$G$49,MATCH(orders!$D785, products!$A$1:$A$49,0), MATCH(orders!J$1,products!$A$1:$G$1,0))</f>
        <v>M</v>
      </c>
      <c r="K785" s="4">
        <f>INDEX(products!$A$1:$G$49,MATCH(orders!$D785, products!$A$1:$A$49,0), MATCH(orders!K$1,products!$A$1:$G$1,0))</f>
        <v>0.5</v>
      </c>
      <c r="L785" s="5">
        <f>INDEX(products!$A$1:$G$49,MATCH(orders!$D785, products!$A$1:$A$49,0), MATCH(orders!L$1,products!$A$1:$G$1,0))</f>
        <v>8.73</v>
      </c>
      <c r="M785" s="5">
        <f t="shared" si="36"/>
        <v>43.650000000000006</v>
      </c>
      <c r="N785" t="str">
        <f t="shared" si="37"/>
        <v>Liberica</v>
      </c>
      <c r="O785" t="str">
        <f t="shared" si="38"/>
        <v>Medium</v>
      </c>
      <c r="P785" t="str">
        <f>_xlfn.XLOOKUP(Table1[[#This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IF(_xlfn.XLOOKUP(C786,customers!$A$1:$A$1001,customers!C785:C1785,,0)=0,"",_xlfn.XLOOKUP(C786,customers!$A$1:$A$1001,customers!C785:C1785,,0))</f>
        <v/>
      </c>
      <c r="H786" s="2" t="str">
        <f>_xlfn.XLOOKUP(orders!C786,customers!$A$1:$A$1001,customers!$G$1:$G$1001,,0)</f>
        <v>United States</v>
      </c>
      <c r="I786" t="str">
        <f>INDEX(products!$A$1:$G$49,MATCH(orders!$D786, products!$A$1:$A$49,0), MATCH(orders!I$1,products!$A$1:$G$1,0))</f>
        <v>Lib</v>
      </c>
      <c r="J786" t="str">
        <f>INDEX(products!$A$1:$G$49,MATCH(orders!$D786, products!$A$1:$A$49,0), MATCH(orders!J$1,products!$A$1:$G$1,0))</f>
        <v>L</v>
      </c>
      <c r="K786" s="4">
        <f>INDEX(products!$A$1:$G$49,MATCH(orders!$D786, products!$A$1:$A$49,0), MATCH(orders!K$1,products!$A$1:$G$1,0))</f>
        <v>1</v>
      </c>
      <c r="L786" s="5">
        <f>INDEX(products!$A$1:$G$49,MATCH(orders!$D786, products!$A$1:$A$49,0), MATCH(orders!L$1,products!$A$1:$G$1,0))</f>
        <v>15.85</v>
      </c>
      <c r="M786" s="5">
        <f t="shared" si="36"/>
        <v>31.7</v>
      </c>
      <c r="N786" t="str">
        <f t="shared" si="37"/>
        <v>Liberica</v>
      </c>
      <c r="O786" t="str">
        <f t="shared" si="38"/>
        <v>Light</v>
      </c>
      <c r="P786" t="str">
        <f>_xlfn.XLOOKUP(Table1[[#This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IF(_xlfn.XLOOKUP(C787,customers!$A$1:$A$1001,customers!C786:C1786,,0)=0,"",_xlfn.XLOOKUP(C787,customers!$A$1:$A$1001,customers!C786:C1786,,0))</f>
        <v/>
      </c>
      <c r="H787" s="2" t="str">
        <f>_xlfn.XLOOKUP(orders!C787,customers!$A$1:$A$1001,customers!$G$1:$G$1001,,0)</f>
        <v>United States</v>
      </c>
      <c r="I787" t="str">
        <f>INDEX(products!$A$1:$G$49,MATCH(orders!$D787, products!$A$1:$A$49,0), MATCH(orders!I$1,products!$A$1:$G$1,0))</f>
        <v>Ara</v>
      </c>
      <c r="J787" t="str">
        <f>INDEX(products!$A$1:$G$49,MATCH(orders!$D787, products!$A$1:$A$49,0), MATCH(orders!J$1,products!$A$1:$G$1,0))</f>
        <v>D</v>
      </c>
      <c r="K787" s="4">
        <f>INDEX(products!$A$1:$G$49,MATCH(orders!$D787, products!$A$1:$A$49,0), MATCH(orders!K$1,products!$A$1:$G$1,0))</f>
        <v>2.5</v>
      </c>
      <c r="L787" s="5">
        <f>INDEX(products!$A$1:$G$49,MATCH(orders!$D787, products!$A$1:$A$49,0), MATCH(orders!L$1,products!$A$1:$G$1,0))</f>
        <v>22.884999999999998</v>
      </c>
      <c r="M787" s="5">
        <f t="shared" si="36"/>
        <v>22.884999999999998</v>
      </c>
      <c r="N787" t="str">
        <f t="shared" si="37"/>
        <v>Arabica</v>
      </c>
      <c r="O787" t="str">
        <f t="shared" si="38"/>
        <v>Dark</v>
      </c>
      <c r="P787" t="str">
        <f>_xlfn.XLOOKUP(Table1[[#This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IF(_xlfn.XLOOKUP(C788,customers!$A$1:$A$1001,customers!C787:C1787,,0)=0,"",_xlfn.XLOOKUP(C788,customers!$A$1:$A$1001,customers!C787:C1787,,0))</f>
        <v/>
      </c>
      <c r="H788" s="2" t="str">
        <f>_xlfn.XLOOKUP(orders!C788,customers!$A$1:$A$1001,customers!$G$1:$G$1001,,0)</f>
        <v>United States</v>
      </c>
      <c r="I788" t="str">
        <f>INDEX(products!$A$1:$G$49,MATCH(orders!$D788, products!$A$1:$A$49,0), MATCH(orders!I$1,products!$A$1:$G$1,0))</f>
        <v>Exc</v>
      </c>
      <c r="J788" t="str">
        <f>INDEX(products!$A$1:$G$49,MATCH(orders!$D788, products!$A$1:$A$49,0), MATCH(orders!J$1,products!$A$1:$G$1,0))</f>
        <v>D</v>
      </c>
      <c r="K788" s="4">
        <f>INDEX(products!$A$1:$G$49,MATCH(orders!$D788, products!$A$1:$A$49,0), MATCH(orders!K$1,products!$A$1:$G$1,0))</f>
        <v>2.5</v>
      </c>
      <c r="L788" s="5">
        <f>INDEX(products!$A$1:$G$49,MATCH(orders!$D788, products!$A$1:$A$49,0), MATCH(orders!L$1,products!$A$1:$G$1,0))</f>
        <v>27.945</v>
      </c>
      <c r="M788" s="5">
        <f t="shared" si="36"/>
        <v>27.945</v>
      </c>
      <c r="N788" t="str">
        <f t="shared" si="37"/>
        <v>Excelsa</v>
      </c>
      <c r="O788" t="str">
        <f t="shared" si="38"/>
        <v>Dark</v>
      </c>
      <c r="P788" t="str">
        <f>_xlfn.XLOOKUP(Table1[[#This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IF(_xlfn.XLOOKUP(C789,customers!$A$1:$A$1001,customers!C788:C1788,,0)=0,"",_xlfn.XLOOKUP(C789,customers!$A$1:$A$1001,customers!C788:C1788,,0))</f>
        <v/>
      </c>
      <c r="H789" s="2" t="str">
        <f>_xlfn.XLOOKUP(orders!C789,customers!$A$1:$A$1001,customers!$G$1:$G$1001,,0)</f>
        <v>United States</v>
      </c>
      <c r="I789" t="str">
        <f>INDEX(products!$A$1:$G$49,MATCH(orders!$D789, products!$A$1:$A$49,0), MATCH(orders!I$1,products!$A$1:$G$1,0))</f>
        <v>Exc</v>
      </c>
      <c r="J789" t="str">
        <f>INDEX(products!$A$1:$G$49,MATCH(orders!$D789, products!$A$1:$A$49,0), MATCH(orders!J$1,products!$A$1:$G$1,0))</f>
        <v>M</v>
      </c>
      <c r="K789" s="4">
        <f>INDEX(products!$A$1:$G$49,MATCH(orders!$D789, products!$A$1:$A$49,0), MATCH(orders!K$1,products!$A$1:$G$1,0))</f>
        <v>1</v>
      </c>
      <c r="L789" s="5">
        <f>INDEX(products!$A$1:$G$49,MATCH(orders!$D789, products!$A$1:$A$49,0), MATCH(orders!L$1,products!$A$1:$G$1,0))</f>
        <v>13.75</v>
      </c>
      <c r="M789" s="5">
        <f t="shared" si="36"/>
        <v>82.5</v>
      </c>
      <c r="N789" t="str">
        <f t="shared" si="37"/>
        <v>Excelsa</v>
      </c>
      <c r="O789" t="str">
        <f t="shared" si="38"/>
        <v>Medium</v>
      </c>
      <c r="P789" t="str">
        <f>_xlfn.XLOOKUP(Table1[[#This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IF(_xlfn.XLOOKUP(C790,customers!$A$1:$A$1001,customers!C789:C1789,,0)=0,"",_xlfn.XLOOKUP(C790,customers!$A$1:$A$1001,customers!C789:C1789,,0))</f>
        <v/>
      </c>
      <c r="H790" s="2" t="str">
        <f>_xlfn.XLOOKUP(orders!C790,customers!$A$1:$A$1001,customers!$G$1:$G$1001,,0)</f>
        <v>Ireland</v>
      </c>
      <c r="I790" t="str">
        <f>INDEX(products!$A$1:$G$49,MATCH(orders!$D790, products!$A$1:$A$49,0), MATCH(orders!I$1,products!$A$1:$G$1,0))</f>
        <v>Rob</v>
      </c>
      <c r="J790" t="str">
        <f>INDEX(products!$A$1:$G$49,MATCH(orders!$D790, products!$A$1:$A$49,0), MATCH(orders!J$1,products!$A$1:$G$1,0))</f>
        <v>M</v>
      </c>
      <c r="K790" s="4">
        <f>INDEX(products!$A$1:$G$49,MATCH(orders!$D790, products!$A$1:$A$49,0), MATCH(orders!K$1,products!$A$1:$G$1,0))</f>
        <v>2.5</v>
      </c>
      <c r="L790" s="5">
        <f>INDEX(products!$A$1:$G$49,MATCH(orders!$D790, products!$A$1:$A$49,0), MATCH(orders!L$1,products!$A$1:$G$1,0))</f>
        <v>22.884999999999998</v>
      </c>
      <c r="M790" s="5">
        <f t="shared" si="36"/>
        <v>45.769999999999996</v>
      </c>
      <c r="N790" t="str">
        <f t="shared" si="37"/>
        <v>Robusta</v>
      </c>
      <c r="O790" t="str">
        <f t="shared" si="38"/>
        <v>Medium</v>
      </c>
      <c r="P790" t="str">
        <f>_xlfn.XLOOKUP(Table1[[#This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IF(_xlfn.XLOOKUP(C791,customers!$A$1:$A$1001,customers!C790:C1790,,0)=0,"",_xlfn.XLOOKUP(C791,customers!$A$1:$A$1001,customers!C790:C1790,,0))</f>
        <v/>
      </c>
      <c r="H791" s="2" t="str">
        <f>_xlfn.XLOOKUP(orders!C791,customers!$A$1:$A$1001,customers!$G$1:$G$1001,,0)</f>
        <v>United States</v>
      </c>
      <c r="I791" t="str">
        <f>INDEX(products!$A$1:$G$49,MATCH(orders!$D791, products!$A$1:$A$49,0), MATCH(orders!I$1,products!$A$1:$G$1,0))</f>
        <v>Ara</v>
      </c>
      <c r="J791" t="str">
        <f>INDEX(products!$A$1:$G$49,MATCH(orders!$D791, products!$A$1:$A$49,0), MATCH(orders!J$1,products!$A$1:$G$1,0))</f>
        <v>L</v>
      </c>
      <c r="K791" s="4">
        <f>INDEX(products!$A$1:$G$49,MATCH(orders!$D791, products!$A$1:$A$49,0), MATCH(orders!K$1,products!$A$1:$G$1,0))</f>
        <v>1</v>
      </c>
      <c r="L791" s="5">
        <f>INDEX(products!$A$1:$G$49,MATCH(orders!$D791, products!$A$1:$A$49,0), MATCH(orders!L$1,products!$A$1:$G$1,0))</f>
        <v>12.95</v>
      </c>
      <c r="M791" s="5">
        <f t="shared" si="36"/>
        <v>77.699999999999989</v>
      </c>
      <c r="N791" t="str">
        <f t="shared" si="37"/>
        <v>Arabica</v>
      </c>
      <c r="O791" t="str">
        <f t="shared" si="38"/>
        <v>Light</v>
      </c>
      <c r="P791" t="str">
        <f>_xlfn.XLOOKUP(Table1[[#This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IF(_xlfn.XLOOKUP(C792,customers!$A$1:$A$1001,customers!C791:C1791,,0)=0,"",_xlfn.XLOOKUP(C792,customers!$A$1:$A$1001,customers!C791:C1791,,0))</f>
        <v/>
      </c>
      <c r="H792" s="2" t="str">
        <f>_xlfn.XLOOKUP(orders!C792,customers!$A$1:$A$1001,customers!$G$1:$G$1001,,0)</f>
        <v>United States</v>
      </c>
      <c r="I792" t="str">
        <f>INDEX(products!$A$1:$G$49,MATCH(orders!$D792, products!$A$1:$A$49,0), MATCH(orders!I$1,products!$A$1:$G$1,0))</f>
        <v>Ara</v>
      </c>
      <c r="J792" t="str">
        <f>INDEX(products!$A$1:$G$49,MATCH(orders!$D792, products!$A$1:$A$49,0), MATCH(orders!J$1,products!$A$1:$G$1,0))</f>
        <v>L</v>
      </c>
      <c r="K792" s="4">
        <f>INDEX(products!$A$1:$G$49,MATCH(orders!$D792, products!$A$1:$A$49,0), MATCH(orders!K$1,products!$A$1:$G$1,0))</f>
        <v>0.5</v>
      </c>
      <c r="L792" s="5">
        <f>INDEX(products!$A$1:$G$49,MATCH(orders!$D792, products!$A$1:$A$49,0), MATCH(orders!L$1,products!$A$1:$G$1,0))</f>
        <v>7.77</v>
      </c>
      <c r="M792" s="5">
        <f t="shared" si="36"/>
        <v>23.31</v>
      </c>
      <c r="N792" t="str">
        <f t="shared" si="37"/>
        <v>Arabica</v>
      </c>
      <c r="O792" t="str">
        <f t="shared" si="38"/>
        <v>Light</v>
      </c>
      <c r="P792" t="str">
        <f>_xlfn.XLOOKUP(Table1[[#This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IF(_xlfn.XLOOKUP(C793,customers!$A$1:$A$1001,customers!C792:C1792,,0)=0,"",_xlfn.XLOOKUP(C793,customers!$A$1:$A$1001,customers!C792:C1792,,0))</f>
        <v/>
      </c>
      <c r="H793" s="2" t="str">
        <f>_xlfn.XLOOKUP(orders!C793,customers!$A$1:$A$1001,customers!$G$1:$G$1001,,0)</f>
        <v>United States</v>
      </c>
      <c r="I793" t="str">
        <f>INDEX(products!$A$1:$G$49,MATCH(orders!$D793, products!$A$1:$A$49,0), MATCH(orders!I$1,products!$A$1:$G$1,0))</f>
        <v>Lib</v>
      </c>
      <c r="J793" t="str">
        <f>INDEX(products!$A$1:$G$49,MATCH(orders!$D793, products!$A$1:$A$49,0), MATCH(orders!J$1,products!$A$1:$G$1,0))</f>
        <v>L</v>
      </c>
      <c r="K793" s="4">
        <f>INDEX(products!$A$1:$G$49,MATCH(orders!$D793, products!$A$1:$A$49,0), MATCH(orders!K$1,products!$A$1:$G$1,0))</f>
        <v>0.2</v>
      </c>
      <c r="L793" s="5">
        <f>INDEX(products!$A$1:$G$49,MATCH(orders!$D793, products!$A$1:$A$49,0), MATCH(orders!L$1,products!$A$1:$G$1,0))</f>
        <v>4.7549999999999999</v>
      </c>
      <c r="M793" s="5">
        <f t="shared" si="36"/>
        <v>23.774999999999999</v>
      </c>
      <c r="N793" t="str">
        <f t="shared" si="37"/>
        <v>Liberica</v>
      </c>
      <c r="O793" t="str">
        <f t="shared" si="38"/>
        <v>Light</v>
      </c>
      <c r="P793" t="str">
        <f>_xlfn.XLOOKUP(Table1[[#This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IF(_xlfn.XLOOKUP(C794,customers!$A$1:$A$1001,customers!C793:C1793,,0)=0,"",_xlfn.XLOOKUP(C794,customers!$A$1:$A$1001,customers!C793:C1793,,0))</f>
        <v/>
      </c>
      <c r="H794" s="2" t="str">
        <f>_xlfn.XLOOKUP(orders!C794,customers!$A$1:$A$1001,customers!$G$1:$G$1001,,0)</f>
        <v>United Kingdom</v>
      </c>
      <c r="I794" t="str">
        <f>INDEX(products!$A$1:$G$49,MATCH(orders!$D794, products!$A$1:$A$49,0), MATCH(orders!I$1,products!$A$1:$G$1,0))</f>
        <v>Lib</v>
      </c>
      <c r="J794" t="str">
        <f>INDEX(products!$A$1:$G$49,MATCH(orders!$D794, products!$A$1:$A$49,0), MATCH(orders!J$1,products!$A$1:$G$1,0))</f>
        <v>M</v>
      </c>
      <c r="K794" s="4">
        <f>INDEX(products!$A$1:$G$49,MATCH(orders!$D794, products!$A$1:$A$49,0), MATCH(orders!K$1,products!$A$1:$G$1,0))</f>
        <v>0.5</v>
      </c>
      <c r="L794" s="5">
        <f>INDEX(products!$A$1:$G$49,MATCH(orders!$D794, products!$A$1:$A$49,0), MATCH(orders!L$1,products!$A$1:$G$1,0))</f>
        <v>8.73</v>
      </c>
      <c r="M794" s="5">
        <f t="shared" si="36"/>
        <v>52.38</v>
      </c>
      <c r="N794" t="str">
        <f t="shared" si="37"/>
        <v>Liberica</v>
      </c>
      <c r="O794" t="str">
        <f t="shared" si="38"/>
        <v>Medium</v>
      </c>
      <c r="P794" t="str">
        <f>_xlfn.XLOOKUP(Table1[[#This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IF(_xlfn.XLOOKUP(C795,customers!$A$1:$A$1001,customers!C794:C1794,,0)=0,"",_xlfn.XLOOKUP(C795,customers!$A$1:$A$1001,customers!C794:C1794,,0))</f>
        <v/>
      </c>
      <c r="H795" s="2" t="str">
        <f>_xlfn.XLOOKUP(orders!C795,customers!$A$1:$A$1001,customers!$G$1:$G$1001,,0)</f>
        <v>United States</v>
      </c>
      <c r="I795" t="str">
        <f>INDEX(products!$A$1:$G$49,MATCH(orders!$D795, products!$A$1:$A$49,0), MATCH(orders!I$1,products!$A$1:$G$1,0))</f>
        <v>Rob</v>
      </c>
      <c r="J795" t="str">
        <f>INDEX(products!$A$1:$G$49,MATCH(orders!$D795, products!$A$1:$A$49,0), MATCH(orders!J$1,products!$A$1:$G$1,0))</f>
        <v>L</v>
      </c>
      <c r="K795" s="4">
        <f>INDEX(products!$A$1:$G$49,MATCH(orders!$D795, products!$A$1:$A$49,0), MATCH(orders!K$1,products!$A$1:$G$1,0))</f>
        <v>0.2</v>
      </c>
      <c r="L795" s="5">
        <f>INDEX(products!$A$1:$G$49,MATCH(orders!$D795, products!$A$1:$A$49,0), MATCH(orders!L$1,products!$A$1:$G$1,0))</f>
        <v>3.5849999999999995</v>
      </c>
      <c r="M795" s="5">
        <f t="shared" si="36"/>
        <v>17.924999999999997</v>
      </c>
      <c r="N795" t="str">
        <f t="shared" si="37"/>
        <v>Robusta</v>
      </c>
      <c r="O795" t="str">
        <f t="shared" si="38"/>
        <v>Light</v>
      </c>
      <c r="P795" t="str">
        <f>_xlfn.XLOOKUP(Table1[[#This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IF(_xlfn.XLOOKUP(C796,customers!$A$1:$A$1001,customers!C795:C1795,,0)=0,"",_xlfn.XLOOKUP(C796,customers!$A$1:$A$1001,customers!C795:C1795,,0))</f>
        <v/>
      </c>
      <c r="H796" s="2" t="str">
        <f>_xlfn.XLOOKUP(orders!C796,customers!$A$1:$A$1001,customers!$G$1:$G$1001,,0)</f>
        <v>United States</v>
      </c>
      <c r="I796" t="str">
        <f>INDEX(products!$A$1:$G$49,MATCH(orders!$D796, products!$A$1:$A$49,0), MATCH(orders!I$1,products!$A$1:$G$1,0))</f>
        <v>Ara</v>
      </c>
      <c r="J796" t="str">
        <f>INDEX(products!$A$1:$G$49,MATCH(orders!$D796, products!$A$1:$A$49,0), MATCH(orders!J$1,products!$A$1:$G$1,0))</f>
        <v>L</v>
      </c>
      <c r="K796" s="4">
        <f>INDEX(products!$A$1:$G$49,MATCH(orders!$D796, products!$A$1:$A$49,0), MATCH(orders!K$1,products!$A$1:$G$1,0))</f>
        <v>2.5</v>
      </c>
      <c r="L796" s="5">
        <f>INDEX(products!$A$1:$G$49,MATCH(orders!$D796, products!$A$1:$A$49,0), MATCH(orders!L$1,products!$A$1:$G$1,0))</f>
        <v>29.784999999999997</v>
      </c>
      <c r="M796" s="5">
        <f t="shared" si="36"/>
        <v>148.92499999999998</v>
      </c>
      <c r="N796" t="str">
        <f t="shared" si="37"/>
        <v>Arabica</v>
      </c>
      <c r="O796" t="str">
        <f t="shared" si="38"/>
        <v>Light</v>
      </c>
      <c r="P796" t="str">
        <f>_xlfn.XLOOKUP(Table1[[#This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IF(_xlfn.XLOOKUP(C797,customers!$A$1:$A$1001,customers!C796:C1796,,0)=0,"",_xlfn.XLOOKUP(C797,customers!$A$1:$A$1001,customers!C796:C1796,,0))</f>
        <v/>
      </c>
      <c r="H797" s="2" t="str">
        <f>_xlfn.XLOOKUP(orders!C797,customers!$A$1:$A$1001,customers!$G$1:$G$1001,,0)</f>
        <v>United States</v>
      </c>
      <c r="I797" t="str">
        <f>INDEX(products!$A$1:$G$49,MATCH(orders!$D797, products!$A$1:$A$49,0), MATCH(orders!I$1,products!$A$1:$G$1,0))</f>
        <v>Rob</v>
      </c>
      <c r="J797" t="str">
        <f>INDEX(products!$A$1:$G$49,MATCH(orders!$D797, products!$A$1:$A$49,0), MATCH(orders!J$1,products!$A$1:$G$1,0))</f>
        <v>L</v>
      </c>
      <c r="K797" s="4">
        <f>INDEX(products!$A$1:$G$49,MATCH(orders!$D797, products!$A$1:$A$49,0), MATCH(orders!K$1,products!$A$1:$G$1,0))</f>
        <v>0.5</v>
      </c>
      <c r="L797" s="5">
        <f>INDEX(products!$A$1:$G$49,MATCH(orders!$D797, products!$A$1:$A$49,0), MATCH(orders!L$1,products!$A$1:$G$1,0))</f>
        <v>7.169999999999999</v>
      </c>
      <c r="M797" s="5">
        <f t="shared" si="36"/>
        <v>28.679999999999996</v>
      </c>
      <c r="N797" t="str">
        <f t="shared" si="37"/>
        <v>Robusta</v>
      </c>
      <c r="O797" t="str">
        <f t="shared" si="38"/>
        <v>Light</v>
      </c>
      <c r="P797" t="str">
        <f>_xlfn.XLOOKUP(Table1[[#This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IF(_xlfn.XLOOKUP(C798,customers!$A$1:$A$1001,customers!C797:C1797,,0)=0,"",_xlfn.XLOOKUP(C798,customers!$A$1:$A$1001,customers!C797:C1797,,0))</f>
        <v/>
      </c>
      <c r="H798" s="2" t="str">
        <f>_xlfn.XLOOKUP(orders!C798,customers!$A$1:$A$1001,customers!$G$1:$G$1001,,0)</f>
        <v>United States</v>
      </c>
      <c r="I798" t="str">
        <f>INDEX(products!$A$1:$G$49,MATCH(orders!$D798, products!$A$1:$A$49,0), MATCH(orders!I$1,products!$A$1:$G$1,0))</f>
        <v>Lib</v>
      </c>
      <c r="J798" t="str">
        <f>INDEX(products!$A$1:$G$49,MATCH(orders!$D798, products!$A$1:$A$49,0), MATCH(orders!J$1,products!$A$1:$G$1,0))</f>
        <v>L</v>
      </c>
      <c r="K798" s="4">
        <f>INDEX(products!$A$1:$G$49,MATCH(orders!$D798, products!$A$1:$A$49,0), MATCH(orders!K$1,products!$A$1:$G$1,0))</f>
        <v>0.5</v>
      </c>
      <c r="L798" s="5">
        <f>INDEX(products!$A$1:$G$49,MATCH(orders!$D798, products!$A$1:$A$49,0), MATCH(orders!L$1,products!$A$1:$G$1,0))</f>
        <v>9.51</v>
      </c>
      <c r="M798" s="5">
        <f t="shared" si="36"/>
        <v>9.51</v>
      </c>
      <c r="N798" t="str">
        <f t="shared" si="37"/>
        <v>Liberica</v>
      </c>
      <c r="O798" t="str">
        <f t="shared" si="38"/>
        <v>Light</v>
      </c>
      <c r="P798" t="str">
        <f>_xlfn.XLOOKUP(Table1[[#This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IF(_xlfn.XLOOKUP(C799,customers!$A$1:$A$1001,customers!C798:C1798,,0)=0,"",_xlfn.XLOOKUP(C799,customers!$A$1:$A$1001,customers!C798:C1798,,0))</f>
        <v/>
      </c>
      <c r="H799" s="2" t="str">
        <f>_xlfn.XLOOKUP(orders!C799,customers!$A$1:$A$1001,customers!$G$1:$G$1001,,0)</f>
        <v>United States</v>
      </c>
      <c r="I799" t="str">
        <f>INDEX(products!$A$1:$G$49,MATCH(orders!$D799, products!$A$1:$A$49,0), MATCH(orders!I$1,products!$A$1:$G$1,0))</f>
        <v>Ara</v>
      </c>
      <c r="J799" t="str">
        <f>INDEX(products!$A$1:$G$49,MATCH(orders!$D799, products!$A$1:$A$49,0), MATCH(orders!J$1,products!$A$1:$G$1,0))</f>
        <v>L</v>
      </c>
      <c r="K799" s="4">
        <f>INDEX(products!$A$1:$G$49,MATCH(orders!$D799, products!$A$1:$A$49,0), MATCH(orders!K$1,products!$A$1:$G$1,0))</f>
        <v>0.5</v>
      </c>
      <c r="L799" s="5">
        <f>INDEX(products!$A$1:$G$49,MATCH(orders!$D799, products!$A$1:$A$49,0), MATCH(orders!L$1,products!$A$1:$G$1,0))</f>
        <v>7.77</v>
      </c>
      <c r="M799" s="5">
        <f t="shared" si="36"/>
        <v>31.08</v>
      </c>
      <c r="N799" t="str">
        <f t="shared" si="37"/>
        <v>Arabica</v>
      </c>
      <c r="O799" t="str">
        <f t="shared" si="38"/>
        <v>Light</v>
      </c>
      <c r="P799" t="str">
        <f>_xlfn.XLOOKUP(Table1[[#This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IF(_xlfn.XLOOKUP(C800,customers!$A$1:$A$1001,customers!C799:C1799,,0)=0,"",_xlfn.XLOOKUP(C800,customers!$A$1:$A$1001,customers!C799:C1799,,0))</f>
        <v/>
      </c>
      <c r="H800" s="2" t="str">
        <f>_xlfn.XLOOKUP(orders!C800,customers!$A$1:$A$1001,customers!$G$1:$G$1001,,0)</f>
        <v>United States</v>
      </c>
      <c r="I800" t="str">
        <f>INDEX(products!$A$1:$G$49,MATCH(orders!$D800, products!$A$1:$A$49,0), MATCH(orders!I$1,products!$A$1:$G$1,0))</f>
        <v>Rob</v>
      </c>
      <c r="J800" t="str">
        <f>INDEX(products!$A$1:$G$49,MATCH(orders!$D800, products!$A$1:$A$49,0), MATCH(orders!J$1,products!$A$1:$G$1,0))</f>
        <v>D</v>
      </c>
      <c r="K800" s="4">
        <f>INDEX(products!$A$1:$G$49,MATCH(orders!$D800, products!$A$1:$A$49,0), MATCH(orders!K$1,products!$A$1:$G$1,0))</f>
        <v>0.2</v>
      </c>
      <c r="L800" s="5">
        <f>INDEX(products!$A$1:$G$49,MATCH(orders!$D800, products!$A$1:$A$49,0), MATCH(orders!L$1,products!$A$1:$G$1,0))</f>
        <v>2.6849999999999996</v>
      </c>
      <c r="M800" s="5">
        <f t="shared" si="36"/>
        <v>8.0549999999999997</v>
      </c>
      <c r="N800" t="str">
        <f t="shared" si="37"/>
        <v>Robusta</v>
      </c>
      <c r="O800" t="str">
        <f t="shared" si="38"/>
        <v>Dark</v>
      </c>
      <c r="P800" t="str">
        <f>_xlfn.XLOOKUP(Table1[[#This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IF(_xlfn.XLOOKUP(C801,customers!$A$1:$A$1001,customers!C800:C1800,,0)=0,"",_xlfn.XLOOKUP(C801,customers!$A$1:$A$1001,customers!C800:C1800,,0))</f>
        <v/>
      </c>
      <c r="H801" s="2" t="str">
        <f>_xlfn.XLOOKUP(orders!C801,customers!$A$1:$A$1001,customers!$G$1:$G$1001,,0)</f>
        <v>United States</v>
      </c>
      <c r="I801" t="str">
        <f>INDEX(products!$A$1:$G$49,MATCH(orders!$D801, products!$A$1:$A$49,0), MATCH(orders!I$1,products!$A$1:$G$1,0))</f>
        <v>Exc</v>
      </c>
      <c r="J801" t="str">
        <f>INDEX(products!$A$1:$G$49,MATCH(orders!$D801, products!$A$1:$A$49,0), MATCH(orders!J$1,products!$A$1:$G$1,0))</f>
        <v>D</v>
      </c>
      <c r="K801" s="4">
        <f>INDEX(products!$A$1:$G$49,MATCH(orders!$D801, products!$A$1:$A$49,0), MATCH(orders!K$1,products!$A$1:$G$1,0))</f>
        <v>1</v>
      </c>
      <c r="L801" s="5">
        <f>INDEX(products!$A$1:$G$49,MATCH(orders!$D801, products!$A$1:$A$49,0), MATCH(orders!L$1,products!$A$1:$G$1,0))</f>
        <v>12.15</v>
      </c>
      <c r="M801" s="5">
        <f t="shared" si="36"/>
        <v>36.450000000000003</v>
      </c>
      <c r="N801" t="str">
        <f t="shared" si="37"/>
        <v>Excelsa</v>
      </c>
      <c r="O801" t="str">
        <f t="shared" si="38"/>
        <v>Dark</v>
      </c>
      <c r="P801" t="str">
        <f>_xlfn.XLOOKUP(Table1[[#This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IF(_xlfn.XLOOKUP(C802,customers!$A$1:$A$1001,customers!C801:C1801,,0)=0,"",_xlfn.XLOOKUP(C802,customers!$A$1:$A$1001,customers!C801:C1801,,0))</f>
        <v/>
      </c>
      <c r="H802" s="2" t="str">
        <f>_xlfn.XLOOKUP(orders!C802,customers!$A$1:$A$1001,customers!$G$1:$G$1001,,0)</f>
        <v>Ireland</v>
      </c>
      <c r="I802" t="str">
        <f>INDEX(products!$A$1:$G$49,MATCH(orders!$D802, products!$A$1:$A$49,0), MATCH(orders!I$1,products!$A$1:$G$1,0))</f>
        <v>Rob</v>
      </c>
      <c r="J802" t="str">
        <f>INDEX(products!$A$1:$G$49,MATCH(orders!$D802, products!$A$1:$A$49,0), MATCH(orders!J$1,products!$A$1:$G$1,0))</f>
        <v>D</v>
      </c>
      <c r="K802" s="4">
        <f>INDEX(products!$A$1:$G$49,MATCH(orders!$D802, products!$A$1:$A$49,0), MATCH(orders!K$1,products!$A$1:$G$1,0))</f>
        <v>0.2</v>
      </c>
      <c r="L802" s="5">
        <f>INDEX(products!$A$1:$G$49,MATCH(orders!$D802, products!$A$1:$A$49,0), MATCH(orders!L$1,products!$A$1:$G$1,0))</f>
        <v>2.6849999999999996</v>
      </c>
      <c r="M802" s="5">
        <f t="shared" si="36"/>
        <v>16.11</v>
      </c>
      <c r="N802" t="str">
        <f t="shared" si="37"/>
        <v>Robusta</v>
      </c>
      <c r="O802" t="str">
        <f t="shared" si="38"/>
        <v>Dark</v>
      </c>
      <c r="P802" t="str">
        <f>_xlfn.XLOOKUP(Table1[[#This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IF(_xlfn.XLOOKUP(C803,customers!$A$1:$A$1001,customers!C802:C1802,,0)=0,"",_xlfn.XLOOKUP(C803,customers!$A$1:$A$1001,customers!C802:C1802,,0))</f>
        <v/>
      </c>
      <c r="H803" s="2" t="str">
        <f>_xlfn.XLOOKUP(orders!C803,customers!$A$1:$A$1001,customers!$G$1:$G$1001,,0)</f>
        <v>United States</v>
      </c>
      <c r="I803" t="str">
        <f>INDEX(products!$A$1:$G$49,MATCH(orders!$D803, products!$A$1:$A$49,0), MATCH(orders!I$1,products!$A$1:$G$1,0))</f>
        <v>Rob</v>
      </c>
      <c r="J803" t="str">
        <f>INDEX(products!$A$1:$G$49,MATCH(orders!$D803, products!$A$1:$A$49,0), MATCH(orders!J$1,products!$A$1:$G$1,0))</f>
        <v>D</v>
      </c>
      <c r="K803" s="4">
        <f>INDEX(products!$A$1:$G$49,MATCH(orders!$D803, products!$A$1:$A$49,0), MATCH(orders!K$1,products!$A$1:$G$1,0))</f>
        <v>2.5</v>
      </c>
      <c r="L803" s="5">
        <f>INDEX(products!$A$1:$G$49,MATCH(orders!$D803, products!$A$1:$A$49,0), MATCH(orders!L$1,products!$A$1:$G$1,0))</f>
        <v>20.584999999999997</v>
      </c>
      <c r="M803" s="5">
        <f t="shared" si="36"/>
        <v>41.169999999999995</v>
      </c>
      <c r="N803" t="str">
        <f t="shared" si="37"/>
        <v>Robusta</v>
      </c>
      <c r="O803" t="str">
        <f t="shared" si="38"/>
        <v>Dark</v>
      </c>
      <c r="P803" t="str">
        <f>_xlfn.XLOOKUP(Table1[[#This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IF(_xlfn.XLOOKUP(C804,customers!$A$1:$A$1001,customers!C803:C1803,,0)=0,"",_xlfn.XLOOKUP(C804,customers!$A$1:$A$1001,customers!C803:C1803,,0))</f>
        <v/>
      </c>
      <c r="H804" s="2" t="str">
        <f>_xlfn.XLOOKUP(orders!C804,customers!$A$1:$A$1001,customers!$G$1:$G$1001,,0)</f>
        <v>United States</v>
      </c>
      <c r="I804" t="str">
        <f>INDEX(products!$A$1:$G$49,MATCH(orders!$D804, products!$A$1:$A$49,0), MATCH(orders!I$1,products!$A$1:$G$1,0))</f>
        <v>Rob</v>
      </c>
      <c r="J804" t="str">
        <f>INDEX(products!$A$1:$G$49,MATCH(orders!$D804, products!$A$1:$A$49,0), MATCH(orders!J$1,products!$A$1:$G$1,0))</f>
        <v>D</v>
      </c>
      <c r="K804" s="4">
        <f>INDEX(products!$A$1:$G$49,MATCH(orders!$D804, products!$A$1:$A$49,0), MATCH(orders!K$1,products!$A$1:$G$1,0))</f>
        <v>0.2</v>
      </c>
      <c r="L804" s="5">
        <f>INDEX(products!$A$1:$G$49,MATCH(orders!$D804, products!$A$1:$A$49,0), MATCH(orders!L$1,products!$A$1:$G$1,0))</f>
        <v>2.6849999999999996</v>
      </c>
      <c r="M804" s="5">
        <f t="shared" si="36"/>
        <v>10.739999999999998</v>
      </c>
      <c r="N804" t="str">
        <f t="shared" si="37"/>
        <v>Robusta</v>
      </c>
      <c r="O804" t="str">
        <f t="shared" si="38"/>
        <v>Dark</v>
      </c>
      <c r="P804" t="str">
        <f>_xlfn.XLOOKUP(Table1[[#This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IF(_xlfn.XLOOKUP(C805,customers!$A$1:$A$1001,customers!C804:C1804,,0)=0,"",_xlfn.XLOOKUP(C805,customers!$A$1:$A$1001,customers!C804:C1804,,0))</f>
        <v/>
      </c>
      <c r="H805" s="2" t="str">
        <f>_xlfn.XLOOKUP(orders!C805,customers!$A$1:$A$1001,customers!$G$1:$G$1001,,0)</f>
        <v>United States</v>
      </c>
      <c r="I805" t="str">
        <f>INDEX(products!$A$1:$G$49,MATCH(orders!$D805, products!$A$1:$A$49,0), MATCH(orders!I$1,products!$A$1:$G$1,0))</f>
        <v>Exc</v>
      </c>
      <c r="J805" t="str">
        <f>INDEX(products!$A$1:$G$49,MATCH(orders!$D805, products!$A$1:$A$49,0), MATCH(orders!J$1,products!$A$1:$G$1,0))</f>
        <v>M</v>
      </c>
      <c r="K805" s="4">
        <f>INDEX(products!$A$1:$G$49,MATCH(orders!$D805, products!$A$1:$A$49,0), MATCH(orders!K$1,products!$A$1:$G$1,0))</f>
        <v>2.5</v>
      </c>
      <c r="L805" s="5">
        <f>INDEX(products!$A$1:$G$49,MATCH(orders!$D805, products!$A$1:$A$49,0), MATCH(orders!L$1,products!$A$1:$G$1,0))</f>
        <v>31.624999999999996</v>
      </c>
      <c r="M805" s="5">
        <f t="shared" si="36"/>
        <v>126.49999999999999</v>
      </c>
      <c r="N805" t="str">
        <f t="shared" si="37"/>
        <v>Excelsa</v>
      </c>
      <c r="O805" t="str">
        <f t="shared" si="38"/>
        <v>Medium</v>
      </c>
      <c r="P805" t="str">
        <f>_xlfn.XLOOKUP(Table1[[#This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IF(_xlfn.XLOOKUP(C806,customers!$A$1:$A$1001,customers!C805:C1805,,0)=0,"",_xlfn.XLOOKUP(C806,customers!$A$1:$A$1001,customers!C805:C1805,,0))</f>
        <v/>
      </c>
      <c r="H806" s="2" t="str">
        <f>_xlfn.XLOOKUP(orders!C806,customers!$A$1:$A$1001,customers!$G$1:$G$1001,,0)</f>
        <v>United Kingdom</v>
      </c>
      <c r="I806" t="str">
        <f>INDEX(products!$A$1:$G$49,MATCH(orders!$D806, products!$A$1:$A$49,0), MATCH(orders!I$1,products!$A$1:$G$1,0))</f>
        <v>Rob</v>
      </c>
      <c r="J806" t="str">
        <f>INDEX(products!$A$1:$G$49,MATCH(orders!$D806, products!$A$1:$A$49,0), MATCH(orders!J$1,products!$A$1:$G$1,0))</f>
        <v>L</v>
      </c>
      <c r="K806" s="4">
        <f>INDEX(products!$A$1:$G$49,MATCH(orders!$D806, products!$A$1:$A$49,0), MATCH(orders!K$1,products!$A$1:$G$1,0))</f>
        <v>1</v>
      </c>
      <c r="L806" s="5">
        <f>INDEX(products!$A$1:$G$49,MATCH(orders!$D806, products!$A$1:$A$49,0), MATCH(orders!L$1,products!$A$1:$G$1,0))</f>
        <v>11.95</v>
      </c>
      <c r="M806" s="5">
        <f t="shared" si="36"/>
        <v>23.9</v>
      </c>
      <c r="N806" t="str">
        <f t="shared" si="37"/>
        <v>Robusta</v>
      </c>
      <c r="O806" t="str">
        <f t="shared" si="38"/>
        <v>Light</v>
      </c>
      <c r="P806" t="str">
        <f>_xlfn.XLOOKUP(Table1[[#This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IF(_xlfn.XLOOKUP(C807,customers!$A$1:$A$1001,customers!C806:C1806,,0)=0,"",_xlfn.XLOOKUP(C807,customers!$A$1:$A$1001,customers!C806:C1806,,0))</f>
        <v/>
      </c>
      <c r="H807" s="2" t="str">
        <f>_xlfn.XLOOKUP(orders!C807,customers!$A$1:$A$1001,customers!$G$1:$G$1001,,0)</f>
        <v>United States</v>
      </c>
      <c r="I807" t="str">
        <f>INDEX(products!$A$1:$G$49,MATCH(orders!$D807, products!$A$1:$A$49,0), MATCH(orders!I$1,products!$A$1:$G$1,0))</f>
        <v>Rob</v>
      </c>
      <c r="J807" t="str">
        <f>INDEX(products!$A$1:$G$49,MATCH(orders!$D807, products!$A$1:$A$49,0), MATCH(orders!J$1,products!$A$1:$G$1,0))</f>
        <v>M</v>
      </c>
      <c r="K807" s="4">
        <f>INDEX(products!$A$1:$G$49,MATCH(orders!$D807, products!$A$1:$A$49,0), MATCH(orders!K$1,products!$A$1:$G$1,0))</f>
        <v>0.5</v>
      </c>
      <c r="L807" s="5">
        <f>INDEX(products!$A$1:$G$49,MATCH(orders!$D807, products!$A$1:$A$49,0), MATCH(orders!L$1,products!$A$1:$G$1,0))</f>
        <v>5.97</v>
      </c>
      <c r="M807" s="5">
        <f t="shared" si="36"/>
        <v>5.97</v>
      </c>
      <c r="N807" t="str">
        <f t="shared" si="37"/>
        <v>Robusta</v>
      </c>
      <c r="O807" t="str">
        <f t="shared" si="38"/>
        <v>Medium</v>
      </c>
      <c r="P807" t="str">
        <f>_xlfn.XLOOKUP(Table1[[#This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IF(_xlfn.XLOOKUP(C808,customers!$A$1:$A$1001,customers!C807:C1807,,0)=0,"",_xlfn.XLOOKUP(C808,customers!$A$1:$A$1001,customers!C807:C1807,,0))</f>
        <v/>
      </c>
      <c r="H808" s="2" t="str">
        <f>_xlfn.XLOOKUP(orders!C808,customers!$A$1:$A$1001,customers!$G$1:$G$1001,,0)</f>
        <v>United Kingdom</v>
      </c>
      <c r="I808" t="str">
        <f>INDEX(products!$A$1:$G$49,MATCH(orders!$D808, products!$A$1:$A$49,0), MATCH(orders!I$1,products!$A$1:$G$1,0))</f>
        <v>Lib</v>
      </c>
      <c r="J808" t="str">
        <f>INDEX(products!$A$1:$G$49,MATCH(orders!$D808, products!$A$1:$A$49,0), MATCH(orders!J$1,products!$A$1:$G$1,0))</f>
        <v>D</v>
      </c>
      <c r="K808" s="4">
        <f>INDEX(products!$A$1:$G$49,MATCH(orders!$D808, products!$A$1:$A$49,0), MATCH(orders!K$1,products!$A$1:$G$1,0))</f>
        <v>0.2</v>
      </c>
      <c r="L808" s="5">
        <f>INDEX(products!$A$1:$G$49,MATCH(orders!$D808, products!$A$1:$A$49,0), MATCH(orders!L$1,products!$A$1:$G$1,0))</f>
        <v>3.8849999999999998</v>
      </c>
      <c r="M808" s="5">
        <f t="shared" si="36"/>
        <v>7.77</v>
      </c>
      <c r="N808" t="str">
        <f t="shared" si="37"/>
        <v>Liberica</v>
      </c>
      <c r="O808" t="str">
        <f t="shared" si="38"/>
        <v>Dark</v>
      </c>
      <c r="P808" t="str">
        <f>_xlfn.XLOOKUP(Table1[[#This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IF(_xlfn.XLOOKUP(C809,customers!$A$1:$A$1001,customers!C808:C1808,,0)=0,"",_xlfn.XLOOKUP(C809,customers!$A$1:$A$1001,customers!C808:C1808,,0))</f>
        <v/>
      </c>
      <c r="H809" s="2" t="str">
        <f>_xlfn.XLOOKUP(orders!C809,customers!$A$1:$A$1001,customers!$G$1:$G$1001,,0)</f>
        <v>Ireland</v>
      </c>
      <c r="I809" t="str">
        <f>INDEX(products!$A$1:$G$49,MATCH(orders!$D809, products!$A$1:$A$49,0), MATCH(orders!I$1,products!$A$1:$G$1,0))</f>
        <v>Lib</v>
      </c>
      <c r="J809" t="str">
        <f>INDEX(products!$A$1:$G$49,MATCH(orders!$D809, products!$A$1:$A$49,0), MATCH(orders!J$1,products!$A$1:$G$1,0))</f>
        <v>D</v>
      </c>
      <c r="K809" s="4">
        <f>INDEX(products!$A$1:$G$49,MATCH(orders!$D809, products!$A$1:$A$49,0), MATCH(orders!K$1,products!$A$1:$G$1,0))</f>
        <v>0.5</v>
      </c>
      <c r="L809" s="5">
        <f>INDEX(products!$A$1:$G$49,MATCH(orders!$D809, products!$A$1:$A$49,0), MATCH(orders!L$1,products!$A$1:$G$1,0))</f>
        <v>7.77</v>
      </c>
      <c r="M809" s="5">
        <f t="shared" si="36"/>
        <v>23.31</v>
      </c>
      <c r="N809" t="str">
        <f t="shared" si="37"/>
        <v>Liberica</v>
      </c>
      <c r="O809" t="str">
        <f t="shared" si="38"/>
        <v>Dark</v>
      </c>
      <c r="P809" t="str">
        <f>_xlfn.XLOOKUP(Table1[[#This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IF(_xlfn.XLOOKUP(C810,customers!$A$1:$A$1001,customers!C809:C1809,,0)=0,"",_xlfn.XLOOKUP(C810,customers!$A$1:$A$1001,customers!C809:C1809,,0))</f>
        <v/>
      </c>
      <c r="H810" s="2" t="str">
        <f>_xlfn.XLOOKUP(orders!C810,customers!$A$1:$A$1001,customers!$G$1:$G$1001,,0)</f>
        <v>United States</v>
      </c>
      <c r="I810" t="str">
        <f>INDEX(products!$A$1:$G$49,MATCH(orders!$D810, products!$A$1:$A$49,0), MATCH(orders!I$1,products!$A$1:$G$1,0))</f>
        <v>Rob</v>
      </c>
      <c r="J810" t="str">
        <f>INDEX(products!$A$1:$G$49,MATCH(orders!$D810, products!$A$1:$A$49,0), MATCH(orders!J$1,products!$A$1:$G$1,0))</f>
        <v>L</v>
      </c>
      <c r="K810" s="4">
        <f>INDEX(products!$A$1:$G$49,MATCH(orders!$D810, products!$A$1:$A$49,0), MATCH(orders!K$1,products!$A$1:$G$1,0))</f>
        <v>2.5</v>
      </c>
      <c r="L810" s="5">
        <f>INDEX(products!$A$1:$G$49,MATCH(orders!$D810, products!$A$1:$A$49,0), MATCH(orders!L$1,products!$A$1:$G$1,0))</f>
        <v>27.484999999999996</v>
      </c>
      <c r="M810" s="5">
        <f t="shared" si="36"/>
        <v>137.42499999999998</v>
      </c>
      <c r="N810" t="str">
        <f t="shared" si="37"/>
        <v>Robusta</v>
      </c>
      <c r="O810" t="str">
        <f t="shared" si="38"/>
        <v>Light</v>
      </c>
      <c r="P810" t="str">
        <f>_xlfn.XLOOKUP(Table1[[#This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IF(_xlfn.XLOOKUP(C811,customers!$A$1:$A$1001,customers!C810:C1810,,0)=0,"",_xlfn.XLOOKUP(C811,customers!$A$1:$A$1001,customers!C810:C1810,,0))</f>
        <v/>
      </c>
      <c r="H811" s="2" t="str">
        <f>_xlfn.XLOOKUP(orders!C811,customers!$A$1:$A$1001,customers!$G$1:$G$1001,,0)</f>
        <v>United States</v>
      </c>
      <c r="I811" t="str">
        <f>INDEX(products!$A$1:$G$49,MATCH(orders!$D811, products!$A$1:$A$49,0), MATCH(orders!I$1,products!$A$1:$G$1,0))</f>
        <v>Rob</v>
      </c>
      <c r="J811" t="str">
        <f>INDEX(products!$A$1:$G$49,MATCH(orders!$D811, products!$A$1:$A$49,0), MATCH(orders!J$1,products!$A$1:$G$1,0))</f>
        <v>D</v>
      </c>
      <c r="K811" s="4">
        <f>INDEX(products!$A$1:$G$49,MATCH(orders!$D811, products!$A$1:$A$49,0), MATCH(orders!K$1,products!$A$1:$G$1,0))</f>
        <v>0.2</v>
      </c>
      <c r="L811" s="5">
        <f>INDEX(products!$A$1:$G$49,MATCH(orders!$D811, products!$A$1:$A$49,0), MATCH(orders!L$1,products!$A$1:$G$1,0))</f>
        <v>2.6849999999999996</v>
      </c>
      <c r="M811" s="5">
        <f t="shared" si="36"/>
        <v>8.0549999999999997</v>
      </c>
      <c r="N811" t="str">
        <f t="shared" si="37"/>
        <v>Robusta</v>
      </c>
      <c r="O811" t="str">
        <f t="shared" si="38"/>
        <v>Dark</v>
      </c>
      <c r="P811" t="str">
        <f>_xlfn.XLOOKUP(Table1[[#This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IF(_xlfn.XLOOKUP(C812,customers!$A$1:$A$1001,customers!C811:C1811,,0)=0,"",_xlfn.XLOOKUP(C812,customers!$A$1:$A$1001,customers!C811:C1811,,0))</f>
        <v/>
      </c>
      <c r="H812" s="2" t="str">
        <f>_xlfn.XLOOKUP(orders!C812,customers!$A$1:$A$1001,customers!$G$1:$G$1001,,0)</f>
        <v>United States</v>
      </c>
      <c r="I812" t="str">
        <f>INDEX(products!$A$1:$G$49,MATCH(orders!$D812, products!$A$1:$A$49,0), MATCH(orders!I$1,products!$A$1:$G$1,0))</f>
        <v>Lib</v>
      </c>
      <c r="J812" t="str">
        <f>INDEX(products!$A$1:$G$49,MATCH(orders!$D812, products!$A$1:$A$49,0), MATCH(orders!J$1,products!$A$1:$G$1,0))</f>
        <v>L</v>
      </c>
      <c r="K812" s="4">
        <f>INDEX(products!$A$1:$G$49,MATCH(orders!$D812, products!$A$1:$A$49,0), MATCH(orders!K$1,products!$A$1:$G$1,0))</f>
        <v>0.5</v>
      </c>
      <c r="L812" s="5">
        <f>INDEX(products!$A$1:$G$49,MATCH(orders!$D812, products!$A$1:$A$49,0), MATCH(orders!L$1,products!$A$1:$G$1,0))</f>
        <v>9.51</v>
      </c>
      <c r="M812" s="5">
        <f t="shared" si="36"/>
        <v>28.53</v>
      </c>
      <c r="N812" t="str">
        <f t="shared" si="37"/>
        <v>Liberica</v>
      </c>
      <c r="O812" t="str">
        <f t="shared" si="38"/>
        <v>Light</v>
      </c>
      <c r="P812" t="str">
        <f>_xlfn.XLOOKUP(Table1[[#This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IF(_xlfn.XLOOKUP(C813,customers!$A$1:$A$1001,customers!C812:C1812,,0)=0,"",_xlfn.XLOOKUP(C813,customers!$A$1:$A$1001,customers!C812:C1812,,0))</f>
        <v/>
      </c>
      <c r="H813" s="2" t="str">
        <f>_xlfn.XLOOKUP(orders!C813,customers!$A$1:$A$1001,customers!$G$1:$G$1001,,0)</f>
        <v>Ireland</v>
      </c>
      <c r="I813" t="str">
        <f>INDEX(products!$A$1:$G$49,MATCH(orders!$D813, products!$A$1:$A$49,0), MATCH(orders!I$1,products!$A$1:$G$1,0))</f>
        <v>Ara</v>
      </c>
      <c r="J813" t="str">
        <f>INDEX(products!$A$1:$G$49,MATCH(orders!$D813, products!$A$1:$A$49,0), MATCH(orders!J$1,products!$A$1:$G$1,0))</f>
        <v>M</v>
      </c>
      <c r="K813" s="4">
        <f>INDEX(products!$A$1:$G$49,MATCH(orders!$D813, products!$A$1:$A$49,0), MATCH(orders!K$1,products!$A$1:$G$1,0))</f>
        <v>1</v>
      </c>
      <c r="L813" s="5">
        <f>INDEX(products!$A$1:$G$49,MATCH(orders!$D813, products!$A$1:$A$49,0), MATCH(orders!L$1,products!$A$1:$G$1,0))</f>
        <v>11.25</v>
      </c>
      <c r="M813" s="5">
        <f t="shared" si="36"/>
        <v>67.5</v>
      </c>
      <c r="N813" t="str">
        <f t="shared" si="37"/>
        <v>Arabica</v>
      </c>
      <c r="O813" t="str">
        <f t="shared" si="38"/>
        <v>Medium</v>
      </c>
      <c r="P813" t="str">
        <f>_xlfn.XLOOKUP(Table1[[#This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IF(_xlfn.XLOOKUP(C814,customers!$A$1:$A$1001,customers!C813:C1813,,0)=0,"",_xlfn.XLOOKUP(C814,customers!$A$1:$A$1001,customers!C813:C1813,,0))</f>
        <v/>
      </c>
      <c r="H814" s="2" t="str">
        <f>_xlfn.XLOOKUP(orders!C814,customers!$A$1:$A$1001,customers!$G$1:$G$1001,,0)</f>
        <v>Ireland</v>
      </c>
      <c r="I814" t="str">
        <f>INDEX(products!$A$1:$G$49,MATCH(orders!$D814, products!$A$1:$A$49,0), MATCH(orders!I$1,products!$A$1:$G$1,0))</f>
        <v>Lib</v>
      </c>
      <c r="J814" t="str">
        <f>INDEX(products!$A$1:$G$49,MATCH(orders!$D814, products!$A$1:$A$49,0), MATCH(orders!J$1,products!$A$1:$G$1,0))</f>
        <v>D</v>
      </c>
      <c r="K814" s="4">
        <f>INDEX(products!$A$1:$G$49,MATCH(orders!$D814, products!$A$1:$A$49,0), MATCH(orders!K$1,products!$A$1:$G$1,0))</f>
        <v>2.5</v>
      </c>
      <c r="L814" s="5">
        <f>INDEX(products!$A$1:$G$49,MATCH(orders!$D814, products!$A$1:$A$49,0), MATCH(orders!L$1,products!$A$1:$G$1,0))</f>
        <v>29.784999999999997</v>
      </c>
      <c r="M814" s="5">
        <f t="shared" si="36"/>
        <v>178.70999999999998</v>
      </c>
      <c r="N814" t="str">
        <f t="shared" si="37"/>
        <v>Liberica</v>
      </c>
      <c r="O814" t="str">
        <f t="shared" si="38"/>
        <v>Dark</v>
      </c>
      <c r="P814" t="str">
        <f>_xlfn.XLOOKUP(Table1[[#This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IF(_xlfn.XLOOKUP(C815,customers!$A$1:$A$1001,customers!C814:C1814,,0)=0,"",_xlfn.XLOOKUP(C815,customers!$A$1:$A$1001,customers!C814:C1814,,0))</f>
        <v/>
      </c>
      <c r="H815" s="2" t="str">
        <f>_xlfn.XLOOKUP(orders!C815,customers!$A$1:$A$1001,customers!$G$1:$G$1001,,0)</f>
        <v>United States</v>
      </c>
      <c r="I815" t="str">
        <f>INDEX(products!$A$1:$G$49,MATCH(orders!$D815, products!$A$1:$A$49,0), MATCH(orders!I$1,products!$A$1:$G$1,0))</f>
        <v>Exc</v>
      </c>
      <c r="J815" t="str">
        <f>INDEX(products!$A$1:$G$49,MATCH(orders!$D815, products!$A$1:$A$49,0), MATCH(orders!J$1,products!$A$1:$G$1,0))</f>
        <v>M</v>
      </c>
      <c r="K815" s="4">
        <f>INDEX(products!$A$1:$G$49,MATCH(orders!$D815, products!$A$1:$A$49,0), MATCH(orders!K$1,products!$A$1:$G$1,0))</f>
        <v>2.5</v>
      </c>
      <c r="L815" s="5">
        <f>INDEX(products!$A$1:$G$49,MATCH(orders!$D815, products!$A$1:$A$49,0), MATCH(orders!L$1,products!$A$1:$G$1,0))</f>
        <v>31.624999999999996</v>
      </c>
      <c r="M815" s="5">
        <f t="shared" si="36"/>
        <v>31.624999999999996</v>
      </c>
      <c r="N815" t="str">
        <f t="shared" si="37"/>
        <v>Excelsa</v>
      </c>
      <c r="O815" t="str">
        <f t="shared" si="38"/>
        <v>Medium</v>
      </c>
      <c r="P815" t="str">
        <f>_xlfn.XLOOKUP(Table1[[#This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IF(_xlfn.XLOOKUP(C816,customers!$A$1:$A$1001,customers!C815:C1815,,0)=0,"",_xlfn.XLOOKUP(C816,customers!$A$1:$A$1001,customers!C815:C1815,,0))</f>
        <v/>
      </c>
      <c r="H816" s="2" t="str">
        <f>_xlfn.XLOOKUP(orders!C816,customers!$A$1:$A$1001,customers!$G$1:$G$1001,,0)</f>
        <v>United States</v>
      </c>
      <c r="I816" t="str">
        <f>INDEX(products!$A$1:$G$49,MATCH(orders!$D816, products!$A$1:$A$49,0), MATCH(orders!I$1,products!$A$1:$G$1,0))</f>
        <v>Exc</v>
      </c>
      <c r="J816" t="str">
        <f>INDEX(products!$A$1:$G$49,MATCH(orders!$D816, products!$A$1:$A$49,0), MATCH(orders!J$1,products!$A$1:$G$1,0))</f>
        <v>L</v>
      </c>
      <c r="K816" s="4">
        <f>INDEX(products!$A$1:$G$49,MATCH(orders!$D816, products!$A$1:$A$49,0), MATCH(orders!K$1,products!$A$1:$G$1,0))</f>
        <v>0.2</v>
      </c>
      <c r="L816" s="5">
        <f>INDEX(products!$A$1:$G$49,MATCH(orders!$D816, products!$A$1:$A$49,0), MATCH(orders!L$1,products!$A$1:$G$1,0))</f>
        <v>4.4550000000000001</v>
      </c>
      <c r="M816" s="5">
        <f t="shared" si="36"/>
        <v>8.91</v>
      </c>
      <c r="N816" t="str">
        <f t="shared" si="37"/>
        <v>Excelsa</v>
      </c>
      <c r="O816" t="str">
        <f t="shared" si="38"/>
        <v>Light</v>
      </c>
      <c r="P816" t="str">
        <f>_xlfn.XLOOKUP(Table1[[#This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IF(_xlfn.XLOOKUP(C817,customers!$A$1:$A$1001,customers!C816:C1816,,0)=0,"",_xlfn.XLOOKUP(C817,customers!$A$1:$A$1001,customers!C816:C1816,,0))</f>
        <v/>
      </c>
      <c r="H817" s="2" t="str">
        <f>_xlfn.XLOOKUP(orders!C817,customers!$A$1:$A$1001,customers!$G$1:$G$1001,,0)</f>
        <v>United States</v>
      </c>
      <c r="I817" t="str">
        <f>INDEX(products!$A$1:$G$49,MATCH(orders!$D817, products!$A$1:$A$49,0), MATCH(orders!I$1,products!$A$1:$G$1,0))</f>
        <v>Rob</v>
      </c>
      <c r="J817" t="str">
        <f>INDEX(products!$A$1:$G$49,MATCH(orders!$D817, products!$A$1:$A$49,0), MATCH(orders!J$1,products!$A$1:$G$1,0))</f>
        <v>M</v>
      </c>
      <c r="K817" s="4">
        <f>INDEX(products!$A$1:$G$49,MATCH(orders!$D817, products!$A$1:$A$49,0), MATCH(orders!K$1,products!$A$1:$G$1,0))</f>
        <v>0.5</v>
      </c>
      <c r="L817" s="5">
        <f>INDEX(products!$A$1:$G$49,MATCH(orders!$D817, products!$A$1:$A$49,0), MATCH(orders!L$1,products!$A$1:$G$1,0))</f>
        <v>5.97</v>
      </c>
      <c r="M817" s="5">
        <f t="shared" si="36"/>
        <v>35.82</v>
      </c>
      <c r="N817" t="str">
        <f t="shared" si="37"/>
        <v>Robusta</v>
      </c>
      <c r="O817" t="str">
        <f t="shared" si="38"/>
        <v>Medium</v>
      </c>
      <c r="P817" t="str">
        <f>_xlfn.XLOOKUP(Table1[[#This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IF(_xlfn.XLOOKUP(C818,customers!$A$1:$A$1001,customers!C817:C1817,,0)=0,"",_xlfn.XLOOKUP(C818,customers!$A$1:$A$1001,customers!C817:C1817,,0))</f>
        <v/>
      </c>
      <c r="H818" s="2" t="str">
        <f>_xlfn.XLOOKUP(orders!C818,customers!$A$1:$A$1001,customers!$G$1:$G$1001,,0)</f>
        <v>Ireland</v>
      </c>
      <c r="I818" t="str">
        <f>INDEX(products!$A$1:$G$49,MATCH(orders!$D818, products!$A$1:$A$49,0), MATCH(orders!I$1,products!$A$1:$G$1,0))</f>
        <v>Lib</v>
      </c>
      <c r="J818" t="str">
        <f>INDEX(products!$A$1:$G$49,MATCH(orders!$D818, products!$A$1:$A$49,0), MATCH(orders!J$1,products!$A$1:$G$1,0))</f>
        <v>L</v>
      </c>
      <c r="K818" s="4">
        <f>INDEX(products!$A$1:$G$49,MATCH(orders!$D818, products!$A$1:$A$49,0), MATCH(orders!K$1,products!$A$1:$G$1,0))</f>
        <v>0.5</v>
      </c>
      <c r="L818" s="5">
        <f>INDEX(products!$A$1:$G$49,MATCH(orders!$D818, products!$A$1:$A$49,0), MATCH(orders!L$1,products!$A$1:$G$1,0))</f>
        <v>9.51</v>
      </c>
      <c r="M818" s="5">
        <f t="shared" si="36"/>
        <v>38.04</v>
      </c>
      <c r="N818" t="str">
        <f t="shared" si="37"/>
        <v>Liberica</v>
      </c>
      <c r="O818" t="str">
        <f t="shared" si="38"/>
        <v>Light</v>
      </c>
      <c r="P818" t="str">
        <f>_xlfn.XLOOKUP(Table1[[#This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IF(_xlfn.XLOOKUP(C819,customers!$A$1:$A$1001,customers!C818:C1818,,0)=0,"",_xlfn.XLOOKUP(C819,customers!$A$1:$A$1001,customers!C818:C1818,,0))</f>
        <v/>
      </c>
      <c r="H819" s="2" t="str">
        <f>_xlfn.XLOOKUP(orders!C819,customers!$A$1:$A$1001,customers!$G$1:$G$1001,,0)</f>
        <v>United States</v>
      </c>
      <c r="I819" t="str">
        <f>INDEX(products!$A$1:$G$49,MATCH(orders!$D819, products!$A$1:$A$49,0), MATCH(orders!I$1,products!$A$1:$G$1,0))</f>
        <v>Lib</v>
      </c>
      <c r="J819" t="str">
        <f>INDEX(products!$A$1:$G$49,MATCH(orders!$D819, products!$A$1:$A$49,0), MATCH(orders!J$1,products!$A$1:$G$1,0))</f>
        <v>D</v>
      </c>
      <c r="K819" s="4">
        <f>INDEX(products!$A$1:$G$49,MATCH(orders!$D819, products!$A$1:$A$49,0), MATCH(orders!K$1,products!$A$1:$G$1,0))</f>
        <v>0.5</v>
      </c>
      <c r="L819" s="5">
        <f>INDEX(products!$A$1:$G$49,MATCH(orders!$D819, products!$A$1:$A$49,0), MATCH(orders!L$1,products!$A$1:$G$1,0))</f>
        <v>7.77</v>
      </c>
      <c r="M819" s="5">
        <f t="shared" si="36"/>
        <v>15.54</v>
      </c>
      <c r="N819" t="str">
        <f t="shared" si="37"/>
        <v>Liberica</v>
      </c>
      <c r="O819" t="str">
        <f t="shared" si="38"/>
        <v>Dark</v>
      </c>
      <c r="P819" t="str">
        <f>_xlfn.XLOOKUP(Table1[[#This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IF(_xlfn.XLOOKUP(C820,customers!$A$1:$A$1001,customers!C819:C1819,,0)=0,"",_xlfn.XLOOKUP(C820,customers!$A$1:$A$1001,customers!C819:C1819,,0))</f>
        <v/>
      </c>
      <c r="H820" s="2" t="str">
        <f>_xlfn.XLOOKUP(orders!C820,customers!$A$1:$A$1001,customers!$G$1:$G$1001,,0)</f>
        <v>United States</v>
      </c>
      <c r="I820" t="str">
        <f>INDEX(products!$A$1:$G$49,MATCH(orders!$D820, products!$A$1:$A$49,0), MATCH(orders!I$1,products!$A$1:$G$1,0))</f>
        <v>Lib</v>
      </c>
      <c r="J820" t="str">
        <f>INDEX(products!$A$1:$G$49,MATCH(orders!$D820, products!$A$1:$A$49,0), MATCH(orders!J$1,products!$A$1:$G$1,0))</f>
        <v>L</v>
      </c>
      <c r="K820" s="4">
        <f>INDEX(products!$A$1:$G$49,MATCH(orders!$D820, products!$A$1:$A$49,0), MATCH(orders!K$1,products!$A$1:$G$1,0))</f>
        <v>1</v>
      </c>
      <c r="L820" s="5">
        <f>INDEX(products!$A$1:$G$49,MATCH(orders!$D820, products!$A$1:$A$49,0), MATCH(orders!L$1,products!$A$1:$G$1,0))</f>
        <v>15.85</v>
      </c>
      <c r="M820" s="5">
        <f t="shared" si="36"/>
        <v>79.25</v>
      </c>
      <c r="N820" t="str">
        <f t="shared" si="37"/>
        <v>Liberica</v>
      </c>
      <c r="O820" t="str">
        <f t="shared" si="38"/>
        <v>Light</v>
      </c>
      <c r="P820" t="str">
        <f>_xlfn.XLOOKUP(Table1[[#This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IF(_xlfn.XLOOKUP(C821,customers!$A$1:$A$1001,customers!C820:C1820,,0)=0,"",_xlfn.XLOOKUP(C821,customers!$A$1:$A$1001,customers!C820:C1820,,0))</f>
        <v/>
      </c>
      <c r="H821" s="2" t="str">
        <f>_xlfn.XLOOKUP(orders!C821,customers!$A$1:$A$1001,customers!$G$1:$G$1001,,0)</f>
        <v>United States</v>
      </c>
      <c r="I821" t="str">
        <f>INDEX(products!$A$1:$G$49,MATCH(orders!$D821, products!$A$1:$A$49,0), MATCH(orders!I$1,products!$A$1:$G$1,0))</f>
        <v>Lib</v>
      </c>
      <c r="J821" t="str">
        <f>INDEX(products!$A$1:$G$49,MATCH(orders!$D821, products!$A$1:$A$49,0), MATCH(orders!J$1,products!$A$1:$G$1,0))</f>
        <v>L</v>
      </c>
      <c r="K821" s="4">
        <f>INDEX(products!$A$1:$G$49,MATCH(orders!$D821, products!$A$1:$A$49,0), MATCH(orders!K$1,products!$A$1:$G$1,0))</f>
        <v>0.2</v>
      </c>
      <c r="L821" s="5">
        <f>INDEX(products!$A$1:$G$49,MATCH(orders!$D821, products!$A$1:$A$49,0), MATCH(orders!L$1,products!$A$1:$G$1,0))</f>
        <v>4.7549999999999999</v>
      </c>
      <c r="M821" s="5">
        <f t="shared" si="36"/>
        <v>4.7549999999999999</v>
      </c>
      <c r="N821" t="str">
        <f t="shared" si="37"/>
        <v>Liberica</v>
      </c>
      <c r="O821" t="str">
        <f t="shared" si="38"/>
        <v>Light</v>
      </c>
      <c r="P821" t="str">
        <f>_xlfn.XLOOKUP(Table1[[#This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IF(_xlfn.XLOOKUP(C822,customers!$A$1:$A$1001,customers!C821:C1821,,0)=0,"",_xlfn.XLOOKUP(C822,customers!$A$1:$A$1001,customers!C821:C1821,,0))</f>
        <v/>
      </c>
      <c r="H822" s="2" t="str">
        <f>_xlfn.XLOOKUP(orders!C822,customers!$A$1:$A$1001,customers!$G$1:$G$1001,,0)</f>
        <v>United States</v>
      </c>
      <c r="I822" t="str">
        <f>INDEX(products!$A$1:$G$49,MATCH(orders!$D822, products!$A$1:$A$49,0), MATCH(orders!I$1,products!$A$1:$G$1,0))</f>
        <v>Exc</v>
      </c>
      <c r="J822" t="str">
        <f>INDEX(products!$A$1:$G$49,MATCH(orders!$D822, products!$A$1:$A$49,0), MATCH(orders!J$1,products!$A$1:$G$1,0))</f>
        <v>M</v>
      </c>
      <c r="K822" s="4">
        <f>INDEX(products!$A$1:$G$49,MATCH(orders!$D822, products!$A$1:$A$49,0), MATCH(orders!K$1,products!$A$1:$G$1,0))</f>
        <v>1</v>
      </c>
      <c r="L822" s="5">
        <f>INDEX(products!$A$1:$G$49,MATCH(orders!$D822, products!$A$1:$A$49,0), MATCH(orders!L$1,products!$A$1:$G$1,0))</f>
        <v>13.75</v>
      </c>
      <c r="M822" s="5">
        <f t="shared" si="36"/>
        <v>55</v>
      </c>
      <c r="N822" t="str">
        <f t="shared" si="37"/>
        <v>Excelsa</v>
      </c>
      <c r="O822" t="str">
        <f t="shared" si="38"/>
        <v>Medium</v>
      </c>
      <c r="P822" t="str">
        <f>_xlfn.XLOOKUP(Table1[[#This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IF(_xlfn.XLOOKUP(C823,customers!$A$1:$A$1001,customers!C822:C1822,,0)=0,"",_xlfn.XLOOKUP(C823,customers!$A$1:$A$1001,customers!C822:C1822,,0))</f>
        <v/>
      </c>
      <c r="H823" s="2" t="str">
        <f>_xlfn.XLOOKUP(orders!C823,customers!$A$1:$A$1001,customers!$G$1:$G$1001,,0)</f>
        <v>United States</v>
      </c>
      <c r="I823" t="str">
        <f>INDEX(products!$A$1:$G$49,MATCH(orders!$D823, products!$A$1:$A$49,0), MATCH(orders!I$1,products!$A$1:$G$1,0))</f>
        <v>Rob</v>
      </c>
      <c r="J823" t="str">
        <f>INDEX(products!$A$1:$G$49,MATCH(orders!$D823, products!$A$1:$A$49,0), MATCH(orders!J$1,products!$A$1:$G$1,0))</f>
        <v>D</v>
      </c>
      <c r="K823" s="4">
        <f>INDEX(products!$A$1:$G$49,MATCH(orders!$D823, products!$A$1:$A$49,0), MATCH(orders!K$1,products!$A$1:$G$1,0))</f>
        <v>0.5</v>
      </c>
      <c r="L823" s="5">
        <f>INDEX(products!$A$1:$G$49,MATCH(orders!$D823, products!$A$1:$A$49,0), MATCH(orders!L$1,products!$A$1:$G$1,0))</f>
        <v>5.3699999999999992</v>
      </c>
      <c r="M823" s="5">
        <f t="shared" si="36"/>
        <v>26.849999999999994</v>
      </c>
      <c r="N823" t="str">
        <f t="shared" si="37"/>
        <v>Robusta</v>
      </c>
      <c r="O823" t="str">
        <f t="shared" si="38"/>
        <v>Dark</v>
      </c>
      <c r="P823" t="str">
        <f>_xlfn.XLOOKUP(Table1[[#This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IF(_xlfn.XLOOKUP(C824,customers!$A$1:$A$1001,customers!C823:C1823,,0)=0,"",_xlfn.XLOOKUP(C824,customers!$A$1:$A$1001,customers!C823:C1823,,0))</f>
        <v/>
      </c>
      <c r="H824" s="2" t="str">
        <f>_xlfn.XLOOKUP(orders!C824,customers!$A$1:$A$1001,customers!$G$1:$G$1001,,0)</f>
        <v>United States</v>
      </c>
      <c r="I824" t="str">
        <f>INDEX(products!$A$1:$G$49,MATCH(orders!$D824, products!$A$1:$A$49,0), MATCH(orders!I$1,products!$A$1:$G$1,0))</f>
        <v>Exc</v>
      </c>
      <c r="J824" t="str">
        <f>INDEX(products!$A$1:$G$49,MATCH(orders!$D824, products!$A$1:$A$49,0), MATCH(orders!J$1,products!$A$1:$G$1,0))</f>
        <v>L</v>
      </c>
      <c r="K824" s="4">
        <f>INDEX(products!$A$1:$G$49,MATCH(orders!$D824, products!$A$1:$A$49,0), MATCH(orders!K$1,products!$A$1:$G$1,0))</f>
        <v>2.5</v>
      </c>
      <c r="L824" s="5">
        <f>INDEX(products!$A$1:$G$49,MATCH(orders!$D824, products!$A$1:$A$49,0), MATCH(orders!L$1,products!$A$1:$G$1,0))</f>
        <v>34.154999999999994</v>
      </c>
      <c r="M824" s="5">
        <f t="shared" si="36"/>
        <v>136.61999999999998</v>
      </c>
      <c r="N824" t="str">
        <f t="shared" si="37"/>
        <v>Excelsa</v>
      </c>
      <c r="O824" t="str">
        <f t="shared" si="38"/>
        <v>Light</v>
      </c>
      <c r="P824" t="str">
        <f>_xlfn.XLOOKUP(Table1[[#This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IF(_xlfn.XLOOKUP(C825,customers!$A$1:$A$1001,customers!C824:C1824,,0)=0,"",_xlfn.XLOOKUP(C825,customers!$A$1:$A$1001,customers!C824:C1824,,0))</f>
        <v/>
      </c>
      <c r="H825" s="2" t="str">
        <f>_xlfn.XLOOKUP(orders!C825,customers!$A$1:$A$1001,customers!$G$1:$G$1001,,0)</f>
        <v>United States</v>
      </c>
      <c r="I825" t="str">
        <f>INDEX(products!$A$1:$G$49,MATCH(orders!$D825, products!$A$1:$A$49,0), MATCH(orders!I$1,products!$A$1:$G$1,0))</f>
        <v>Lib</v>
      </c>
      <c r="J825" t="str">
        <f>INDEX(products!$A$1:$G$49,MATCH(orders!$D825, products!$A$1:$A$49,0), MATCH(orders!J$1,products!$A$1:$G$1,0))</f>
        <v>L</v>
      </c>
      <c r="K825" s="4">
        <f>INDEX(products!$A$1:$G$49,MATCH(orders!$D825, products!$A$1:$A$49,0), MATCH(orders!K$1,products!$A$1:$G$1,0))</f>
        <v>1</v>
      </c>
      <c r="L825" s="5">
        <f>INDEX(products!$A$1:$G$49,MATCH(orders!$D825, products!$A$1:$A$49,0), MATCH(orders!L$1,products!$A$1:$G$1,0))</f>
        <v>15.85</v>
      </c>
      <c r="M825" s="5">
        <f t="shared" si="36"/>
        <v>47.55</v>
      </c>
      <c r="N825" t="str">
        <f t="shared" si="37"/>
        <v>Liberica</v>
      </c>
      <c r="O825" t="str">
        <f t="shared" si="38"/>
        <v>Light</v>
      </c>
      <c r="P825" t="str">
        <f>_xlfn.XLOOKUP(Table1[[#This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IF(_xlfn.XLOOKUP(C826,customers!$A$1:$A$1001,customers!C825:C1825,,0)=0,"",_xlfn.XLOOKUP(C826,customers!$A$1:$A$1001,customers!C825:C1825,,0))</f>
        <v/>
      </c>
      <c r="H826" s="2" t="str">
        <f>_xlfn.XLOOKUP(orders!C826,customers!$A$1:$A$1001,customers!$G$1:$G$1001,,0)</f>
        <v>United States</v>
      </c>
      <c r="I826" t="str">
        <f>INDEX(products!$A$1:$G$49,MATCH(orders!$D826, products!$A$1:$A$49,0), MATCH(orders!I$1,products!$A$1:$G$1,0))</f>
        <v>Ara</v>
      </c>
      <c r="J826" t="str">
        <f>INDEX(products!$A$1:$G$49,MATCH(orders!$D826, products!$A$1:$A$49,0), MATCH(orders!J$1,products!$A$1:$G$1,0))</f>
        <v>M</v>
      </c>
      <c r="K826" s="4">
        <f>INDEX(products!$A$1:$G$49,MATCH(orders!$D826, products!$A$1:$A$49,0), MATCH(orders!K$1,products!$A$1:$G$1,0))</f>
        <v>0.2</v>
      </c>
      <c r="L826" s="5">
        <f>INDEX(products!$A$1:$G$49,MATCH(orders!$D826, products!$A$1:$A$49,0), MATCH(orders!L$1,products!$A$1:$G$1,0))</f>
        <v>3.375</v>
      </c>
      <c r="M826" s="5">
        <f t="shared" si="36"/>
        <v>16.875</v>
      </c>
      <c r="N826" t="str">
        <f t="shared" si="37"/>
        <v>Arabica</v>
      </c>
      <c r="O826" t="str">
        <f t="shared" si="38"/>
        <v>Medium</v>
      </c>
      <c r="P826" t="str">
        <f>_xlfn.XLOOKUP(Table1[[#This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IF(_xlfn.XLOOKUP(C827,customers!$A$1:$A$1001,customers!C826:C1826,,0)=0,"",_xlfn.XLOOKUP(C827,customers!$A$1:$A$1001,customers!C826:C1826,,0))</f>
        <v/>
      </c>
      <c r="H827" s="2" t="str">
        <f>_xlfn.XLOOKUP(orders!C827,customers!$A$1:$A$1001,customers!$G$1:$G$1001,,0)</f>
        <v>United States</v>
      </c>
      <c r="I827" t="str">
        <f>INDEX(products!$A$1:$G$49,MATCH(orders!$D827, products!$A$1:$A$49,0), MATCH(orders!I$1,products!$A$1:$G$1,0))</f>
        <v>Ara</v>
      </c>
      <c r="J827" t="str">
        <f>INDEX(products!$A$1:$G$49,MATCH(orders!$D827, products!$A$1:$A$49,0), MATCH(orders!J$1,products!$A$1:$G$1,0))</f>
        <v>D</v>
      </c>
      <c r="K827" s="4">
        <f>INDEX(products!$A$1:$G$49,MATCH(orders!$D827, products!$A$1:$A$49,0), MATCH(orders!K$1,products!$A$1:$G$1,0))</f>
        <v>1</v>
      </c>
      <c r="L827" s="5">
        <f>INDEX(products!$A$1:$G$49,MATCH(orders!$D827, products!$A$1:$A$49,0), MATCH(orders!L$1,products!$A$1:$G$1,0))</f>
        <v>9.9499999999999993</v>
      </c>
      <c r="M827" s="5">
        <f t="shared" si="36"/>
        <v>29.849999999999998</v>
      </c>
      <c r="N827" t="str">
        <f t="shared" si="37"/>
        <v>Arabica</v>
      </c>
      <c r="O827" t="str">
        <f t="shared" si="38"/>
        <v>Dark</v>
      </c>
      <c r="P827" t="str">
        <f>_xlfn.XLOOKUP(Table1[[#This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IF(_xlfn.XLOOKUP(C828,customers!$A$1:$A$1001,customers!C827:C1827,,0)=0,"",_xlfn.XLOOKUP(C828,customers!$A$1:$A$1001,customers!C827:C1827,,0))</f>
        <v/>
      </c>
      <c r="H828" s="2" t="str">
        <f>_xlfn.XLOOKUP(orders!C828,customers!$A$1:$A$1001,customers!$G$1:$G$1001,,0)</f>
        <v>United States</v>
      </c>
      <c r="I828" t="str">
        <f>INDEX(products!$A$1:$G$49,MATCH(orders!$D828, products!$A$1:$A$49,0), MATCH(orders!I$1,products!$A$1:$G$1,0))</f>
        <v>Exc</v>
      </c>
      <c r="J828" t="str">
        <f>INDEX(products!$A$1:$G$49,MATCH(orders!$D828, products!$A$1:$A$49,0), MATCH(orders!J$1,products!$A$1:$G$1,0))</f>
        <v>M</v>
      </c>
      <c r="K828" s="4">
        <f>INDEX(products!$A$1:$G$49,MATCH(orders!$D828, products!$A$1:$A$49,0), MATCH(orders!K$1,products!$A$1:$G$1,0))</f>
        <v>0.5</v>
      </c>
      <c r="L828" s="5">
        <f>INDEX(products!$A$1:$G$49,MATCH(orders!$D828, products!$A$1:$A$49,0), MATCH(orders!L$1,products!$A$1:$G$1,0))</f>
        <v>8.25</v>
      </c>
      <c r="M828" s="5">
        <f t="shared" si="36"/>
        <v>41.25</v>
      </c>
      <c r="N828" t="str">
        <f t="shared" si="37"/>
        <v>Excelsa</v>
      </c>
      <c r="O828" t="str">
        <f t="shared" si="38"/>
        <v>Medium</v>
      </c>
      <c r="P828" t="str">
        <f>_xlfn.XLOOKUP(Table1[[#This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IF(_xlfn.XLOOKUP(C829,customers!$A$1:$A$1001,customers!C828:C1828,,0)=0,"",_xlfn.XLOOKUP(C829,customers!$A$1:$A$1001,customers!C828:C1828,,0))</f>
        <v/>
      </c>
      <c r="H829" s="2" t="str">
        <f>_xlfn.XLOOKUP(orders!C829,customers!$A$1:$A$1001,customers!$G$1:$G$1001,,0)</f>
        <v>United States</v>
      </c>
      <c r="I829" t="str">
        <f>INDEX(products!$A$1:$G$49,MATCH(orders!$D829, products!$A$1:$A$49,0), MATCH(orders!I$1,products!$A$1:$G$1,0))</f>
        <v>Exc</v>
      </c>
      <c r="J829" t="str">
        <f>INDEX(products!$A$1:$G$49,MATCH(orders!$D829, products!$A$1:$A$49,0), MATCH(orders!J$1,products!$A$1:$G$1,0))</f>
        <v>M</v>
      </c>
      <c r="K829" s="4">
        <f>INDEX(products!$A$1:$G$49,MATCH(orders!$D829, products!$A$1:$A$49,0), MATCH(orders!K$1,products!$A$1:$G$1,0))</f>
        <v>0.2</v>
      </c>
      <c r="L829" s="5">
        <f>INDEX(products!$A$1:$G$49,MATCH(orders!$D829, products!$A$1:$A$49,0), MATCH(orders!L$1,products!$A$1:$G$1,0))</f>
        <v>4.125</v>
      </c>
      <c r="M829" s="5">
        <f t="shared" si="36"/>
        <v>20.625</v>
      </c>
      <c r="N829" t="str">
        <f t="shared" si="37"/>
        <v>Excelsa</v>
      </c>
      <c r="O829" t="str">
        <f t="shared" si="38"/>
        <v>Medium</v>
      </c>
      <c r="P829" t="str">
        <f>_xlfn.XLOOKUP(Table1[[#This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IF(_xlfn.XLOOKUP(C830,customers!$A$1:$A$1001,customers!C829:C1829,,0)=0,"",_xlfn.XLOOKUP(C830,customers!$A$1:$A$1001,customers!C829:C1829,,0))</f>
        <v/>
      </c>
      <c r="H830" s="2" t="str">
        <f>_xlfn.XLOOKUP(orders!C830,customers!$A$1:$A$1001,customers!$G$1:$G$1001,,0)</f>
        <v>United States</v>
      </c>
      <c r="I830" t="str">
        <f>INDEX(products!$A$1:$G$49,MATCH(orders!$D830, products!$A$1:$A$49,0), MATCH(orders!I$1,products!$A$1:$G$1,0))</f>
        <v>Ara</v>
      </c>
      <c r="J830" t="str">
        <f>INDEX(products!$A$1:$G$49,MATCH(orders!$D830, products!$A$1:$A$49,0), MATCH(orders!J$1,products!$A$1:$G$1,0))</f>
        <v>D</v>
      </c>
      <c r="K830" s="4">
        <f>INDEX(products!$A$1:$G$49,MATCH(orders!$D830, products!$A$1:$A$49,0), MATCH(orders!K$1,products!$A$1:$G$1,0))</f>
        <v>2.5</v>
      </c>
      <c r="L830" s="5">
        <f>INDEX(products!$A$1:$G$49,MATCH(orders!$D830, products!$A$1:$A$49,0), MATCH(orders!L$1,products!$A$1:$G$1,0))</f>
        <v>22.884999999999998</v>
      </c>
      <c r="M830" s="5">
        <f t="shared" si="36"/>
        <v>137.31</v>
      </c>
      <c r="N830" t="str">
        <f t="shared" si="37"/>
        <v>Arabica</v>
      </c>
      <c r="O830" t="str">
        <f t="shared" si="38"/>
        <v>Dark</v>
      </c>
      <c r="P830" t="str">
        <f>_xlfn.XLOOKUP(Table1[[#This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IF(_xlfn.XLOOKUP(C831,customers!$A$1:$A$1001,customers!C830:C1830,,0)=0,"",_xlfn.XLOOKUP(C831,customers!$A$1:$A$1001,customers!C830:C1830,,0))</f>
        <v/>
      </c>
      <c r="H831" s="2" t="str">
        <f>_xlfn.XLOOKUP(orders!C831,customers!$A$1:$A$1001,customers!$G$1:$G$1001,,0)</f>
        <v>United States</v>
      </c>
      <c r="I831" t="str">
        <f>INDEX(products!$A$1:$G$49,MATCH(orders!$D831, products!$A$1:$A$49,0), MATCH(orders!I$1,products!$A$1:$G$1,0))</f>
        <v>Ara</v>
      </c>
      <c r="J831" t="str">
        <f>INDEX(products!$A$1:$G$49,MATCH(orders!$D831, products!$A$1:$A$49,0), MATCH(orders!J$1,products!$A$1:$G$1,0))</f>
        <v>D</v>
      </c>
      <c r="K831" s="4">
        <f>INDEX(products!$A$1:$G$49,MATCH(orders!$D831, products!$A$1:$A$49,0), MATCH(orders!K$1,products!$A$1:$G$1,0))</f>
        <v>0.2</v>
      </c>
      <c r="L831" s="5">
        <f>INDEX(products!$A$1:$G$49,MATCH(orders!$D831, products!$A$1:$A$49,0), MATCH(orders!L$1,products!$A$1:$G$1,0))</f>
        <v>2.9849999999999999</v>
      </c>
      <c r="M831" s="5">
        <f t="shared" si="36"/>
        <v>2.9849999999999999</v>
      </c>
      <c r="N831" t="str">
        <f t="shared" si="37"/>
        <v>Arabica</v>
      </c>
      <c r="O831" t="str">
        <f t="shared" si="38"/>
        <v>Dark</v>
      </c>
      <c r="P831" t="str">
        <f>_xlfn.XLOOKUP(Table1[[#This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IF(_xlfn.XLOOKUP(C832,customers!$A$1:$A$1001,customers!C831:C1831,,0)=0,"",_xlfn.XLOOKUP(C832,customers!$A$1:$A$1001,customers!C831:C1831,,0))</f>
        <v/>
      </c>
      <c r="H832" s="2" t="str">
        <f>_xlfn.XLOOKUP(orders!C832,customers!$A$1:$A$1001,customers!$G$1:$G$1001,,0)</f>
        <v>United States</v>
      </c>
      <c r="I832" t="str">
        <f>INDEX(products!$A$1:$G$49,MATCH(orders!$D832, products!$A$1:$A$49,0), MATCH(orders!I$1,products!$A$1:$G$1,0))</f>
        <v>Exc</v>
      </c>
      <c r="J832" t="str">
        <f>INDEX(products!$A$1:$G$49,MATCH(orders!$D832, products!$A$1:$A$49,0), MATCH(orders!J$1,products!$A$1:$G$1,0))</f>
        <v>M</v>
      </c>
      <c r="K832" s="4">
        <f>INDEX(products!$A$1:$G$49,MATCH(orders!$D832, products!$A$1:$A$49,0), MATCH(orders!K$1,products!$A$1:$G$1,0))</f>
        <v>1</v>
      </c>
      <c r="L832" s="5">
        <f>INDEX(products!$A$1:$G$49,MATCH(orders!$D832, products!$A$1:$A$49,0), MATCH(orders!L$1,products!$A$1:$G$1,0))</f>
        <v>13.75</v>
      </c>
      <c r="M832" s="5">
        <f t="shared" si="36"/>
        <v>27.5</v>
      </c>
      <c r="N832" t="str">
        <f t="shared" si="37"/>
        <v>Excelsa</v>
      </c>
      <c r="O832" t="str">
        <f t="shared" si="38"/>
        <v>Medium</v>
      </c>
      <c r="P832" t="str">
        <f>_xlfn.XLOOKUP(Table1[[#This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IF(_xlfn.XLOOKUP(C833,customers!$A$1:$A$1001,customers!C832:C1832,,0)=0,"",_xlfn.XLOOKUP(C833,customers!$A$1:$A$1001,customers!C832:C1832,,0))</f>
        <v/>
      </c>
      <c r="H833" s="2" t="str">
        <f>_xlfn.XLOOKUP(orders!C833,customers!$A$1:$A$1001,customers!$G$1:$G$1001,,0)</f>
        <v>United States</v>
      </c>
      <c r="I833" t="str">
        <f>INDEX(products!$A$1:$G$49,MATCH(orders!$D833, products!$A$1:$A$49,0), MATCH(orders!I$1,products!$A$1:$G$1,0))</f>
        <v>Ara</v>
      </c>
      <c r="J833" t="str">
        <f>INDEX(products!$A$1:$G$49,MATCH(orders!$D833, products!$A$1:$A$49,0), MATCH(orders!J$1,products!$A$1:$G$1,0))</f>
        <v>D</v>
      </c>
      <c r="K833" s="4">
        <f>INDEX(products!$A$1:$G$49,MATCH(orders!$D833, products!$A$1:$A$49,0), MATCH(orders!K$1,products!$A$1:$G$1,0))</f>
        <v>0.2</v>
      </c>
      <c r="L833" s="5">
        <f>INDEX(products!$A$1:$G$49,MATCH(orders!$D833, products!$A$1:$A$49,0), MATCH(orders!L$1,products!$A$1:$G$1,0))</f>
        <v>2.9849999999999999</v>
      </c>
      <c r="M833" s="5">
        <f t="shared" si="36"/>
        <v>5.97</v>
      </c>
      <c r="N833" t="str">
        <f t="shared" si="37"/>
        <v>Arabica</v>
      </c>
      <c r="O833" t="str">
        <f t="shared" si="38"/>
        <v>Dark</v>
      </c>
      <c r="P833" t="str">
        <f>_xlfn.XLOOKUP(Table1[[#This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IF(_xlfn.XLOOKUP(C834,customers!$A$1:$A$1001,customers!C833:C1833,,0)=0,"",_xlfn.XLOOKUP(C834,customers!$A$1:$A$1001,customers!C833:C1833,,0))</f>
        <v/>
      </c>
      <c r="H834" s="2" t="str">
        <f>_xlfn.XLOOKUP(orders!C834,customers!$A$1:$A$1001,customers!$G$1:$G$1001,,0)</f>
        <v>United States</v>
      </c>
      <c r="I834" t="str">
        <f>INDEX(products!$A$1:$G$49,MATCH(orders!$D834, products!$A$1:$A$49,0), MATCH(orders!I$1,products!$A$1:$G$1,0))</f>
        <v>Rob</v>
      </c>
      <c r="J834" t="str">
        <f>INDEX(products!$A$1:$G$49,MATCH(orders!$D834, products!$A$1:$A$49,0), MATCH(orders!J$1,products!$A$1:$G$1,0))</f>
        <v>M</v>
      </c>
      <c r="K834" s="4">
        <f>INDEX(products!$A$1:$G$49,MATCH(orders!$D834, products!$A$1:$A$49,0), MATCH(orders!K$1,products!$A$1:$G$1,0))</f>
        <v>1</v>
      </c>
      <c r="L834" s="5">
        <f>INDEX(products!$A$1:$G$49,MATCH(orders!$D834, products!$A$1:$A$49,0), MATCH(orders!L$1,products!$A$1:$G$1,0))</f>
        <v>9.9499999999999993</v>
      </c>
      <c r="M834" s="5">
        <f t="shared" si="36"/>
        <v>59.699999999999996</v>
      </c>
      <c r="N834" t="str">
        <f t="shared" si="37"/>
        <v>Robusta</v>
      </c>
      <c r="O834" t="str">
        <f t="shared" si="38"/>
        <v>Medium</v>
      </c>
      <c r="P834" t="str">
        <f>_xlfn.XLOOKUP(Table1[[#This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IF(_xlfn.XLOOKUP(C835,customers!$A$1:$A$1001,customers!C834:C1834,,0)=0,"",_xlfn.XLOOKUP(C835,customers!$A$1:$A$1001,customers!C834:C1834,,0))</f>
        <v/>
      </c>
      <c r="H835" s="2" t="str">
        <f>_xlfn.XLOOKUP(orders!C835,customers!$A$1:$A$1001,customers!$G$1:$G$1001,,0)</f>
        <v>United States</v>
      </c>
      <c r="I835" t="str">
        <f>INDEX(products!$A$1:$G$49,MATCH(orders!$D835, products!$A$1:$A$49,0), MATCH(orders!I$1,products!$A$1:$G$1,0))</f>
        <v>Rob</v>
      </c>
      <c r="J835" t="str">
        <f>INDEX(products!$A$1:$G$49,MATCH(orders!$D835, products!$A$1:$A$49,0), MATCH(orders!J$1,products!$A$1:$G$1,0))</f>
        <v>D</v>
      </c>
      <c r="K835" s="4">
        <f>INDEX(products!$A$1:$G$49,MATCH(orders!$D835, products!$A$1:$A$49,0), MATCH(orders!K$1,products!$A$1:$G$1,0))</f>
        <v>2.5</v>
      </c>
      <c r="L835" s="5">
        <f>INDEX(products!$A$1:$G$49,MATCH(orders!$D835, products!$A$1:$A$49,0), MATCH(orders!L$1,products!$A$1:$G$1,0))</f>
        <v>20.584999999999997</v>
      </c>
      <c r="M835" s="5">
        <f t="shared" ref="M835:M898" si="39">L835*E835</f>
        <v>82.339999999999989</v>
      </c>
      <c r="N835" t="str">
        <f t="shared" ref="N835:N898" si="40">IF(I835="Rob","Robusta",IF(I835="Exc", "Excelsa", IF(I835="Ara","Arabica", IF(I835="lib","Liberica",""))))</f>
        <v>Robusta</v>
      </c>
      <c r="O835" t="str">
        <f t="shared" ref="O835:O898" si="41">IF(J835="M","Medium",IF(J835="L","Light",IF(J835="D","Dark", "")))</f>
        <v>Dark</v>
      </c>
      <c r="P835" t="str">
        <f>_xlfn.XLOOKUP(Table1[[#This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IF(_xlfn.XLOOKUP(C836,customers!$A$1:$A$1001,customers!C835:C1835,,0)=0,"",_xlfn.XLOOKUP(C836,customers!$A$1:$A$1001,customers!C835:C1835,,0))</f>
        <v/>
      </c>
      <c r="H836" s="2" t="str">
        <f>_xlfn.XLOOKUP(orders!C836,customers!$A$1:$A$1001,customers!$G$1:$G$1001,,0)</f>
        <v>United States</v>
      </c>
      <c r="I836" t="str">
        <f>INDEX(products!$A$1:$G$49,MATCH(orders!$D836, products!$A$1:$A$49,0), MATCH(orders!I$1,products!$A$1:$G$1,0))</f>
        <v>Ara</v>
      </c>
      <c r="J836" t="str">
        <f>INDEX(products!$A$1:$G$49,MATCH(orders!$D836, products!$A$1:$A$49,0), MATCH(orders!J$1,products!$A$1:$G$1,0))</f>
        <v>D</v>
      </c>
      <c r="K836" s="4">
        <f>INDEX(products!$A$1:$G$49,MATCH(orders!$D836, products!$A$1:$A$49,0), MATCH(orders!K$1,products!$A$1:$G$1,0))</f>
        <v>2.5</v>
      </c>
      <c r="L836" s="5">
        <f>INDEX(products!$A$1:$G$49,MATCH(orders!$D836, products!$A$1:$A$49,0), MATCH(orders!L$1,products!$A$1:$G$1,0))</f>
        <v>22.884999999999998</v>
      </c>
      <c r="M836" s="5">
        <f t="shared" si="39"/>
        <v>22.884999999999998</v>
      </c>
      <c r="N836" t="str">
        <f t="shared" si="40"/>
        <v>Arabica</v>
      </c>
      <c r="O836" t="str">
        <f t="shared" si="41"/>
        <v>Dark</v>
      </c>
      <c r="P836" t="str">
        <f>_xlfn.XLOOKUP(Table1[[#This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IF(_xlfn.XLOOKUP(C837,customers!$A$1:$A$1001,customers!C836:C1836,,0)=0,"",_xlfn.XLOOKUP(C837,customers!$A$1:$A$1001,customers!C836:C1836,,0))</f>
        <v/>
      </c>
      <c r="H837" s="2" t="str">
        <f>_xlfn.XLOOKUP(orders!C837,customers!$A$1:$A$1001,customers!$G$1:$G$1001,,0)</f>
        <v>United States</v>
      </c>
      <c r="I837" t="str">
        <f>INDEX(products!$A$1:$G$49,MATCH(orders!$D837, products!$A$1:$A$49,0), MATCH(orders!I$1,products!$A$1:$G$1,0))</f>
        <v>Exc</v>
      </c>
      <c r="J837" t="str">
        <f>INDEX(products!$A$1:$G$49,MATCH(orders!$D837, products!$A$1:$A$49,0), MATCH(orders!J$1,products!$A$1:$G$1,0))</f>
        <v>L</v>
      </c>
      <c r="K837" s="4">
        <f>INDEX(products!$A$1:$G$49,MATCH(orders!$D837, products!$A$1:$A$49,0), MATCH(orders!K$1,products!$A$1:$G$1,0))</f>
        <v>0.5</v>
      </c>
      <c r="L837" s="5">
        <f>INDEX(products!$A$1:$G$49,MATCH(orders!$D837, products!$A$1:$A$49,0), MATCH(orders!L$1,products!$A$1:$G$1,0))</f>
        <v>8.91</v>
      </c>
      <c r="M837" s="5">
        <f t="shared" si="39"/>
        <v>8.91</v>
      </c>
      <c r="N837" t="str">
        <f t="shared" si="40"/>
        <v>Excelsa</v>
      </c>
      <c r="O837" t="str">
        <f t="shared" si="41"/>
        <v>Light</v>
      </c>
      <c r="P837" t="str">
        <f>_xlfn.XLOOKUP(Table1[[#This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IF(_xlfn.XLOOKUP(C838,customers!$A$1:$A$1001,customers!C837:C1837,,0)=0,"",_xlfn.XLOOKUP(C838,customers!$A$1:$A$1001,customers!C837:C1837,,0))</f>
        <v/>
      </c>
      <c r="H838" s="2" t="str">
        <f>_xlfn.XLOOKUP(orders!C838,customers!$A$1:$A$1001,customers!$G$1:$G$1001,,0)</f>
        <v>United States</v>
      </c>
      <c r="I838" t="str">
        <f>INDEX(products!$A$1:$G$49,MATCH(orders!$D838, products!$A$1:$A$49,0), MATCH(orders!I$1,products!$A$1:$G$1,0))</f>
        <v>Ara</v>
      </c>
      <c r="J838" t="str">
        <f>INDEX(products!$A$1:$G$49,MATCH(orders!$D838, products!$A$1:$A$49,0), MATCH(orders!J$1,products!$A$1:$G$1,0))</f>
        <v>D</v>
      </c>
      <c r="K838" s="4">
        <f>INDEX(products!$A$1:$G$49,MATCH(orders!$D838, products!$A$1:$A$49,0), MATCH(orders!K$1,products!$A$1:$G$1,0))</f>
        <v>0.2</v>
      </c>
      <c r="L838" s="5">
        <f>INDEX(products!$A$1:$G$49,MATCH(orders!$D838, products!$A$1:$A$49,0), MATCH(orders!L$1,products!$A$1:$G$1,0))</f>
        <v>2.9849999999999999</v>
      </c>
      <c r="M838" s="5">
        <f t="shared" si="39"/>
        <v>11.94</v>
      </c>
      <c r="N838" t="str">
        <f t="shared" si="40"/>
        <v>Arabica</v>
      </c>
      <c r="O838" t="str">
        <f t="shared" si="41"/>
        <v>Dark</v>
      </c>
      <c r="P838" t="str">
        <f>_xlfn.XLOOKUP(Table1[[#This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IF(_xlfn.XLOOKUP(C839,customers!$A$1:$A$1001,customers!C838:C1838,,0)=0,"",_xlfn.XLOOKUP(C839,customers!$A$1:$A$1001,customers!C838:C1838,,0))</f>
        <v/>
      </c>
      <c r="H839" s="2" t="str">
        <f>_xlfn.XLOOKUP(orders!C839,customers!$A$1:$A$1001,customers!$G$1:$G$1001,,0)</f>
        <v>United States</v>
      </c>
      <c r="I839" t="str">
        <f>INDEX(products!$A$1:$G$49,MATCH(orders!$D839, products!$A$1:$A$49,0), MATCH(orders!I$1,products!$A$1:$G$1,0))</f>
        <v>Lib</v>
      </c>
      <c r="J839" t="str">
        <f>INDEX(products!$A$1:$G$49,MATCH(orders!$D839, products!$A$1:$A$49,0), MATCH(orders!J$1,products!$A$1:$G$1,0))</f>
        <v>M</v>
      </c>
      <c r="K839" s="4">
        <f>INDEX(products!$A$1:$G$49,MATCH(orders!$D839, products!$A$1:$A$49,0), MATCH(orders!K$1,products!$A$1:$G$1,0))</f>
        <v>2.5</v>
      </c>
      <c r="L839" s="5">
        <f>INDEX(products!$A$1:$G$49,MATCH(orders!$D839, products!$A$1:$A$49,0), MATCH(orders!L$1,products!$A$1:$G$1,0))</f>
        <v>33.464999999999996</v>
      </c>
      <c r="M839" s="5">
        <f t="shared" si="39"/>
        <v>100.39499999999998</v>
      </c>
      <c r="N839" t="str">
        <f t="shared" si="40"/>
        <v>Liberica</v>
      </c>
      <c r="O839" t="str">
        <f t="shared" si="41"/>
        <v>Medium</v>
      </c>
      <c r="P839" t="str">
        <f>_xlfn.XLOOKUP(Table1[[#This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IF(_xlfn.XLOOKUP(C840,customers!$A$1:$A$1001,customers!C839:C1839,,0)=0,"",_xlfn.XLOOKUP(C840,customers!$A$1:$A$1001,customers!C839:C1839,,0))</f>
        <v/>
      </c>
      <c r="H840" s="2" t="str">
        <f>_xlfn.XLOOKUP(orders!C840,customers!$A$1:$A$1001,customers!$G$1:$G$1001,,0)</f>
        <v>United States</v>
      </c>
      <c r="I840" t="str">
        <f>INDEX(products!$A$1:$G$49,MATCH(orders!$D840, products!$A$1:$A$49,0), MATCH(orders!I$1,products!$A$1:$G$1,0))</f>
        <v>Ara</v>
      </c>
      <c r="J840" t="str">
        <f>INDEX(products!$A$1:$G$49,MATCH(orders!$D840, products!$A$1:$A$49,0), MATCH(orders!J$1,products!$A$1:$G$1,0))</f>
        <v>D</v>
      </c>
      <c r="K840" s="4">
        <f>INDEX(products!$A$1:$G$49,MATCH(orders!$D840, products!$A$1:$A$49,0), MATCH(orders!K$1,products!$A$1:$G$1,0))</f>
        <v>2.5</v>
      </c>
      <c r="L840" s="5">
        <f>INDEX(products!$A$1:$G$49,MATCH(orders!$D840, products!$A$1:$A$49,0), MATCH(orders!L$1,products!$A$1:$G$1,0))</f>
        <v>22.884999999999998</v>
      </c>
      <c r="M840" s="5">
        <f t="shared" si="39"/>
        <v>114.42499999999998</v>
      </c>
      <c r="N840" t="str">
        <f t="shared" si="40"/>
        <v>Arabica</v>
      </c>
      <c r="O840" t="str">
        <f t="shared" si="41"/>
        <v>Dark</v>
      </c>
      <c r="P840" t="str">
        <f>_xlfn.XLOOKUP(Table1[[#This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IF(_xlfn.XLOOKUP(C841,customers!$A$1:$A$1001,customers!C840:C1840,,0)=0,"",_xlfn.XLOOKUP(C841,customers!$A$1:$A$1001,customers!C840:C1840,,0))</f>
        <v/>
      </c>
      <c r="H841" s="2" t="str">
        <f>_xlfn.XLOOKUP(orders!C841,customers!$A$1:$A$1001,customers!$G$1:$G$1001,,0)</f>
        <v>United States</v>
      </c>
      <c r="I841" t="str">
        <f>INDEX(products!$A$1:$G$49,MATCH(orders!$D841, products!$A$1:$A$49,0), MATCH(orders!I$1,products!$A$1:$G$1,0))</f>
        <v>Exc</v>
      </c>
      <c r="J841" t="str">
        <f>INDEX(products!$A$1:$G$49,MATCH(orders!$D841, products!$A$1:$A$49,0), MATCH(orders!J$1,products!$A$1:$G$1,0))</f>
        <v>M</v>
      </c>
      <c r="K841" s="4">
        <f>INDEX(products!$A$1:$G$49,MATCH(orders!$D841, products!$A$1:$A$49,0), MATCH(orders!K$1,products!$A$1:$G$1,0))</f>
        <v>0.5</v>
      </c>
      <c r="L841" s="5">
        <f>INDEX(products!$A$1:$G$49,MATCH(orders!$D841, products!$A$1:$A$49,0), MATCH(orders!L$1,products!$A$1:$G$1,0))</f>
        <v>8.25</v>
      </c>
      <c r="M841" s="5">
        <f t="shared" si="39"/>
        <v>41.25</v>
      </c>
      <c r="N841" t="str">
        <f t="shared" si="40"/>
        <v>Excelsa</v>
      </c>
      <c r="O841" t="str">
        <f t="shared" si="41"/>
        <v>Medium</v>
      </c>
      <c r="P841" t="str">
        <f>_xlfn.XLOOKUP(Table1[[#This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IF(_xlfn.XLOOKUP(C842,customers!$A$1:$A$1001,customers!C841:C1841,,0)=0,"",_xlfn.XLOOKUP(C842,customers!$A$1:$A$1001,customers!C841:C1841,,0))</f>
        <v/>
      </c>
      <c r="H842" s="2" t="str">
        <f>_xlfn.XLOOKUP(orders!C842,customers!$A$1:$A$1001,customers!$G$1:$G$1001,,0)</f>
        <v>United States</v>
      </c>
      <c r="I842" t="str">
        <f>INDEX(products!$A$1:$G$49,MATCH(orders!$D842, products!$A$1:$A$49,0), MATCH(orders!I$1,products!$A$1:$G$1,0))</f>
        <v>Rob</v>
      </c>
      <c r="J842" t="str">
        <f>INDEX(products!$A$1:$G$49,MATCH(orders!$D842, products!$A$1:$A$49,0), MATCH(orders!J$1,products!$A$1:$G$1,0))</f>
        <v>L</v>
      </c>
      <c r="K842" s="4">
        <f>INDEX(products!$A$1:$G$49,MATCH(orders!$D842, products!$A$1:$A$49,0), MATCH(orders!K$1,products!$A$1:$G$1,0))</f>
        <v>0.5</v>
      </c>
      <c r="L842" s="5">
        <f>INDEX(products!$A$1:$G$49,MATCH(orders!$D842, products!$A$1:$A$49,0), MATCH(orders!L$1,products!$A$1:$G$1,0))</f>
        <v>7.169999999999999</v>
      </c>
      <c r="M842" s="5">
        <f t="shared" si="39"/>
        <v>28.679999999999996</v>
      </c>
      <c r="N842" t="str">
        <f t="shared" si="40"/>
        <v>Robusta</v>
      </c>
      <c r="O842" t="str">
        <f t="shared" si="41"/>
        <v>Light</v>
      </c>
      <c r="P842" t="str">
        <f>_xlfn.XLOOKUP(Table1[[#This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IF(_xlfn.XLOOKUP(C843,customers!$A$1:$A$1001,customers!C842:C1842,,0)=0,"",_xlfn.XLOOKUP(C843,customers!$A$1:$A$1001,customers!C842:C1842,,0))</f>
        <v/>
      </c>
      <c r="H843" s="2" t="str">
        <f>_xlfn.XLOOKUP(orders!C843,customers!$A$1:$A$1001,customers!$G$1:$G$1001,,0)</f>
        <v>United States</v>
      </c>
      <c r="I843" t="str">
        <f>INDEX(products!$A$1:$G$49,MATCH(orders!$D843, products!$A$1:$A$49,0), MATCH(orders!I$1,products!$A$1:$G$1,0))</f>
        <v>Lib</v>
      </c>
      <c r="J843" t="str">
        <f>INDEX(products!$A$1:$G$49,MATCH(orders!$D843, products!$A$1:$A$49,0), MATCH(orders!J$1,products!$A$1:$G$1,0))</f>
        <v>M</v>
      </c>
      <c r="K843" s="4">
        <f>INDEX(products!$A$1:$G$49,MATCH(orders!$D843, products!$A$1:$A$49,0), MATCH(orders!K$1,products!$A$1:$G$1,0))</f>
        <v>0.2</v>
      </c>
      <c r="L843" s="5">
        <f>INDEX(products!$A$1:$G$49,MATCH(orders!$D843, products!$A$1:$A$49,0), MATCH(orders!L$1,products!$A$1:$G$1,0))</f>
        <v>4.3650000000000002</v>
      </c>
      <c r="M843" s="5">
        <f t="shared" si="39"/>
        <v>4.3650000000000002</v>
      </c>
      <c r="N843" t="str">
        <f t="shared" si="40"/>
        <v>Liberica</v>
      </c>
      <c r="O843" t="str">
        <f t="shared" si="41"/>
        <v>Medium</v>
      </c>
      <c r="P843" t="str">
        <f>_xlfn.XLOOKUP(Table1[[#This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IF(_xlfn.XLOOKUP(C844,customers!$A$1:$A$1001,customers!C843:C1843,,0)=0,"",_xlfn.XLOOKUP(C844,customers!$A$1:$A$1001,customers!C843:C1843,,0))</f>
        <v/>
      </c>
      <c r="H844" s="2" t="str">
        <f>_xlfn.XLOOKUP(orders!C844,customers!$A$1:$A$1001,customers!$G$1:$G$1001,,0)</f>
        <v>United States</v>
      </c>
      <c r="I844" t="str">
        <f>INDEX(products!$A$1:$G$49,MATCH(orders!$D844, products!$A$1:$A$49,0), MATCH(orders!I$1,products!$A$1:$G$1,0))</f>
        <v>Exc</v>
      </c>
      <c r="J844" t="str">
        <f>INDEX(products!$A$1:$G$49,MATCH(orders!$D844, products!$A$1:$A$49,0), MATCH(orders!J$1,products!$A$1:$G$1,0))</f>
        <v>M</v>
      </c>
      <c r="K844" s="4">
        <f>INDEX(products!$A$1:$G$49,MATCH(orders!$D844, products!$A$1:$A$49,0), MATCH(orders!K$1,products!$A$1:$G$1,0))</f>
        <v>0.2</v>
      </c>
      <c r="L844" s="5">
        <f>INDEX(products!$A$1:$G$49,MATCH(orders!$D844, products!$A$1:$A$49,0), MATCH(orders!L$1,products!$A$1:$G$1,0))</f>
        <v>4.125</v>
      </c>
      <c r="M844" s="5">
        <f t="shared" si="39"/>
        <v>8.25</v>
      </c>
      <c r="N844" t="str">
        <f t="shared" si="40"/>
        <v>Excelsa</v>
      </c>
      <c r="O844" t="str">
        <f t="shared" si="41"/>
        <v>Medium</v>
      </c>
      <c r="P844" t="str">
        <f>_xlfn.XLOOKUP(Table1[[#This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IF(_xlfn.XLOOKUP(C845,customers!$A$1:$A$1001,customers!C844:C1844,,0)=0,"",_xlfn.XLOOKUP(C845,customers!$A$1:$A$1001,customers!C844:C1844,,0))</f>
        <v/>
      </c>
      <c r="H845" s="2" t="str">
        <f>_xlfn.XLOOKUP(orders!C845,customers!$A$1:$A$1001,customers!$G$1:$G$1001,,0)</f>
        <v>United States</v>
      </c>
      <c r="I845" t="str">
        <f>INDEX(products!$A$1:$G$49,MATCH(orders!$D845, products!$A$1:$A$49,0), MATCH(orders!I$1,products!$A$1:$G$1,0))</f>
        <v>Exc</v>
      </c>
      <c r="J845" t="str">
        <f>INDEX(products!$A$1:$G$49,MATCH(orders!$D845, products!$A$1:$A$49,0), MATCH(orders!J$1,products!$A$1:$G$1,0))</f>
        <v>M</v>
      </c>
      <c r="K845" s="4">
        <f>INDEX(products!$A$1:$G$49,MATCH(orders!$D845, products!$A$1:$A$49,0), MATCH(orders!K$1,products!$A$1:$G$1,0))</f>
        <v>0.2</v>
      </c>
      <c r="L845" s="5">
        <f>INDEX(products!$A$1:$G$49,MATCH(orders!$D845, products!$A$1:$A$49,0), MATCH(orders!L$1,products!$A$1:$G$1,0))</f>
        <v>4.125</v>
      </c>
      <c r="M845" s="5">
        <f t="shared" si="39"/>
        <v>8.25</v>
      </c>
      <c r="N845" t="str">
        <f t="shared" si="40"/>
        <v>Excelsa</v>
      </c>
      <c r="O845" t="str">
        <f t="shared" si="41"/>
        <v>Medium</v>
      </c>
      <c r="P845" t="str">
        <f>_xlfn.XLOOKUP(Table1[[#This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IF(_xlfn.XLOOKUP(C846,customers!$A$1:$A$1001,customers!C845:C1845,,0)=0,"",_xlfn.XLOOKUP(C846,customers!$A$1:$A$1001,customers!C845:C1845,,0))</f>
        <v/>
      </c>
      <c r="H846" s="2" t="str">
        <f>_xlfn.XLOOKUP(orders!C846,customers!$A$1:$A$1001,customers!$G$1:$G$1001,,0)</f>
        <v>United States</v>
      </c>
      <c r="I846" t="str">
        <f>INDEX(products!$A$1:$G$49,MATCH(orders!$D846, products!$A$1:$A$49,0), MATCH(orders!I$1,products!$A$1:$G$1,0))</f>
        <v>Ara</v>
      </c>
      <c r="J846" t="str">
        <f>INDEX(products!$A$1:$G$49,MATCH(orders!$D846, products!$A$1:$A$49,0), MATCH(orders!J$1,products!$A$1:$G$1,0))</f>
        <v>D</v>
      </c>
      <c r="K846" s="4">
        <f>INDEX(products!$A$1:$G$49,MATCH(orders!$D846, products!$A$1:$A$49,0), MATCH(orders!K$1,products!$A$1:$G$1,0))</f>
        <v>0.5</v>
      </c>
      <c r="L846" s="5">
        <f>INDEX(products!$A$1:$G$49,MATCH(orders!$D846, products!$A$1:$A$49,0), MATCH(orders!L$1,products!$A$1:$G$1,0))</f>
        <v>5.97</v>
      </c>
      <c r="M846" s="5">
        <f t="shared" si="39"/>
        <v>35.82</v>
      </c>
      <c r="N846" t="str">
        <f t="shared" si="40"/>
        <v>Arabica</v>
      </c>
      <c r="O846" t="str">
        <f t="shared" si="41"/>
        <v>Dark</v>
      </c>
      <c r="P846" t="str">
        <f>_xlfn.XLOOKUP(Table1[[#This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IF(_xlfn.XLOOKUP(C847,customers!$A$1:$A$1001,customers!C846:C1846,,0)=0,"",_xlfn.XLOOKUP(C847,customers!$A$1:$A$1001,customers!C846:C1846,,0))</f>
        <v/>
      </c>
      <c r="H847" s="2" t="str">
        <f>_xlfn.XLOOKUP(orders!C847,customers!$A$1:$A$1001,customers!$G$1:$G$1001,,0)</f>
        <v>United States</v>
      </c>
      <c r="I847" t="str">
        <f>INDEX(products!$A$1:$G$49,MATCH(orders!$D847, products!$A$1:$A$49,0), MATCH(orders!I$1,products!$A$1:$G$1,0))</f>
        <v>Exc</v>
      </c>
      <c r="J847" t="str">
        <f>INDEX(products!$A$1:$G$49,MATCH(orders!$D847, products!$A$1:$A$49,0), MATCH(orders!J$1,products!$A$1:$G$1,0))</f>
        <v>D</v>
      </c>
      <c r="K847" s="4">
        <f>INDEX(products!$A$1:$G$49,MATCH(orders!$D847, products!$A$1:$A$49,0), MATCH(orders!K$1,products!$A$1:$G$1,0))</f>
        <v>2.5</v>
      </c>
      <c r="L847" s="5">
        <f>INDEX(products!$A$1:$G$49,MATCH(orders!$D847, products!$A$1:$A$49,0), MATCH(orders!L$1,products!$A$1:$G$1,0))</f>
        <v>27.945</v>
      </c>
      <c r="M847" s="5">
        <f t="shared" si="39"/>
        <v>167.67000000000002</v>
      </c>
      <c r="N847" t="str">
        <f t="shared" si="40"/>
        <v>Excelsa</v>
      </c>
      <c r="O847" t="str">
        <f t="shared" si="41"/>
        <v>Dark</v>
      </c>
      <c r="P847" t="str">
        <f>_xlfn.XLOOKUP(Table1[[#This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IF(_xlfn.XLOOKUP(C848,customers!$A$1:$A$1001,customers!C847:C1847,,0)=0,"",_xlfn.XLOOKUP(C848,customers!$A$1:$A$1001,customers!C847:C1847,,0))</f>
        <v/>
      </c>
      <c r="H848" s="2" t="str">
        <f>_xlfn.XLOOKUP(orders!C848,customers!$A$1:$A$1001,customers!$G$1:$G$1001,,0)</f>
        <v>United States</v>
      </c>
      <c r="I848" t="str">
        <f>INDEX(products!$A$1:$G$49,MATCH(orders!$D848, products!$A$1:$A$49,0), MATCH(orders!I$1,products!$A$1:$G$1,0))</f>
        <v>Ara</v>
      </c>
      <c r="J848" t="str">
        <f>INDEX(products!$A$1:$G$49,MATCH(orders!$D848, products!$A$1:$A$49,0), MATCH(orders!J$1,products!$A$1:$G$1,0))</f>
        <v>M</v>
      </c>
      <c r="K848" s="4">
        <f>INDEX(products!$A$1:$G$49,MATCH(orders!$D848, products!$A$1:$A$49,0), MATCH(orders!K$1,products!$A$1:$G$1,0))</f>
        <v>2.5</v>
      </c>
      <c r="L848" s="5">
        <f>INDEX(products!$A$1:$G$49,MATCH(orders!$D848, products!$A$1:$A$49,0), MATCH(orders!L$1,products!$A$1:$G$1,0))</f>
        <v>25.874999999999996</v>
      </c>
      <c r="M848" s="5">
        <f t="shared" si="39"/>
        <v>51.749999999999993</v>
      </c>
      <c r="N848" t="str">
        <f t="shared" si="40"/>
        <v>Arabica</v>
      </c>
      <c r="O848" t="str">
        <f t="shared" si="41"/>
        <v>Medium</v>
      </c>
      <c r="P848" t="str">
        <f>_xlfn.XLOOKUP(Table1[[#This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IF(_xlfn.XLOOKUP(C849,customers!$A$1:$A$1001,customers!C848:C1848,,0)=0,"",_xlfn.XLOOKUP(C849,customers!$A$1:$A$1001,customers!C848:C1848,,0))</f>
        <v/>
      </c>
      <c r="H849" s="2" t="str">
        <f>_xlfn.XLOOKUP(orders!C849,customers!$A$1:$A$1001,customers!$G$1:$G$1001,,0)</f>
        <v>United States</v>
      </c>
      <c r="I849" t="str">
        <f>INDEX(products!$A$1:$G$49,MATCH(orders!$D849, products!$A$1:$A$49,0), MATCH(orders!I$1,products!$A$1:$G$1,0))</f>
        <v>Ara</v>
      </c>
      <c r="J849" t="str">
        <f>INDEX(products!$A$1:$G$49,MATCH(orders!$D849, products!$A$1:$A$49,0), MATCH(orders!J$1,products!$A$1:$G$1,0))</f>
        <v>D</v>
      </c>
      <c r="K849" s="4">
        <f>INDEX(products!$A$1:$G$49,MATCH(orders!$D849, products!$A$1:$A$49,0), MATCH(orders!K$1,products!$A$1:$G$1,0))</f>
        <v>0.2</v>
      </c>
      <c r="L849" s="5">
        <f>INDEX(products!$A$1:$G$49,MATCH(orders!$D849, products!$A$1:$A$49,0), MATCH(orders!L$1,products!$A$1:$G$1,0))</f>
        <v>2.9849999999999999</v>
      </c>
      <c r="M849" s="5">
        <f t="shared" si="39"/>
        <v>8.9550000000000001</v>
      </c>
      <c r="N849" t="str">
        <f t="shared" si="40"/>
        <v>Arabica</v>
      </c>
      <c r="O849" t="str">
        <f t="shared" si="41"/>
        <v>Dark</v>
      </c>
      <c r="P849" t="str">
        <f>_xlfn.XLOOKUP(Table1[[#This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IF(_xlfn.XLOOKUP(C850,customers!$A$1:$A$1001,customers!C849:C1849,,0)=0,"",_xlfn.XLOOKUP(C850,customers!$A$1:$A$1001,customers!C849:C1849,,0))</f>
        <v/>
      </c>
      <c r="H850" s="2" t="str">
        <f>_xlfn.XLOOKUP(orders!C850,customers!$A$1:$A$1001,customers!$G$1:$G$1001,,0)</f>
        <v>United States</v>
      </c>
      <c r="I850" t="str">
        <f>INDEX(products!$A$1:$G$49,MATCH(orders!$D850, products!$A$1:$A$49,0), MATCH(orders!I$1,products!$A$1:$G$1,0))</f>
        <v>Exc</v>
      </c>
      <c r="J850" t="str">
        <f>INDEX(products!$A$1:$G$49,MATCH(orders!$D850, products!$A$1:$A$49,0), MATCH(orders!J$1,products!$A$1:$G$1,0))</f>
        <v>L</v>
      </c>
      <c r="K850" s="4">
        <f>INDEX(products!$A$1:$G$49,MATCH(orders!$D850, products!$A$1:$A$49,0), MATCH(orders!K$1,products!$A$1:$G$1,0))</f>
        <v>0.5</v>
      </c>
      <c r="L850" s="5">
        <f>INDEX(products!$A$1:$G$49,MATCH(orders!$D850, products!$A$1:$A$49,0), MATCH(orders!L$1,products!$A$1:$G$1,0))</f>
        <v>8.91</v>
      </c>
      <c r="M850" s="5">
        <f t="shared" si="39"/>
        <v>53.46</v>
      </c>
      <c r="N850" t="str">
        <f t="shared" si="40"/>
        <v>Excelsa</v>
      </c>
      <c r="O850" t="str">
        <f t="shared" si="41"/>
        <v>Light</v>
      </c>
      <c r="P850" t="str">
        <f>_xlfn.XLOOKUP(Table1[[#This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IF(_xlfn.XLOOKUP(C851,customers!$A$1:$A$1001,customers!C850:C1850,,0)=0,"",_xlfn.XLOOKUP(C851,customers!$A$1:$A$1001,customers!C850:C1850,,0))</f>
        <v/>
      </c>
      <c r="H851" s="2" t="str">
        <f>_xlfn.XLOOKUP(orders!C851,customers!$A$1:$A$1001,customers!$G$1:$G$1001,,0)</f>
        <v>United States</v>
      </c>
      <c r="I851" t="str">
        <f>INDEX(products!$A$1:$G$49,MATCH(orders!$D851, products!$A$1:$A$49,0), MATCH(orders!I$1,products!$A$1:$G$1,0))</f>
        <v>Ara</v>
      </c>
      <c r="J851" t="str">
        <f>INDEX(products!$A$1:$G$49,MATCH(orders!$D851, products!$A$1:$A$49,0), MATCH(orders!J$1,products!$A$1:$G$1,0))</f>
        <v>L</v>
      </c>
      <c r="K851" s="4">
        <f>INDEX(products!$A$1:$G$49,MATCH(orders!$D851, products!$A$1:$A$49,0), MATCH(orders!K$1,products!$A$1:$G$1,0))</f>
        <v>0.2</v>
      </c>
      <c r="L851" s="5">
        <f>INDEX(products!$A$1:$G$49,MATCH(orders!$D851, products!$A$1:$A$49,0), MATCH(orders!L$1,products!$A$1:$G$1,0))</f>
        <v>3.8849999999999998</v>
      </c>
      <c r="M851" s="5">
        <f t="shared" si="39"/>
        <v>23.31</v>
      </c>
      <c r="N851" t="str">
        <f t="shared" si="40"/>
        <v>Arabica</v>
      </c>
      <c r="O851" t="str">
        <f t="shared" si="41"/>
        <v>Light</v>
      </c>
      <c r="P851" t="str">
        <f>_xlfn.XLOOKUP(Table1[[#This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IF(_xlfn.XLOOKUP(C852,customers!$A$1:$A$1001,customers!C851:C1851,,0)=0,"",_xlfn.XLOOKUP(C852,customers!$A$1:$A$1001,customers!C851:C1851,,0))</f>
        <v/>
      </c>
      <c r="H852" s="2" t="str">
        <f>_xlfn.XLOOKUP(orders!C852,customers!$A$1:$A$1001,customers!$G$1:$G$1001,,0)</f>
        <v>United States</v>
      </c>
      <c r="I852" t="str">
        <f>INDEX(products!$A$1:$G$49,MATCH(orders!$D852, products!$A$1:$A$49,0), MATCH(orders!I$1,products!$A$1:$G$1,0))</f>
        <v>Ara</v>
      </c>
      <c r="J852" t="str">
        <f>INDEX(products!$A$1:$G$49,MATCH(orders!$D852, products!$A$1:$A$49,0), MATCH(orders!J$1,products!$A$1:$G$1,0))</f>
        <v>M</v>
      </c>
      <c r="K852" s="4">
        <f>INDEX(products!$A$1:$G$49,MATCH(orders!$D852, products!$A$1:$A$49,0), MATCH(orders!K$1,products!$A$1:$G$1,0))</f>
        <v>0.2</v>
      </c>
      <c r="L852" s="5">
        <f>INDEX(products!$A$1:$G$49,MATCH(orders!$D852, products!$A$1:$A$49,0), MATCH(orders!L$1,products!$A$1:$G$1,0))</f>
        <v>3.375</v>
      </c>
      <c r="M852" s="5">
        <f t="shared" si="39"/>
        <v>6.75</v>
      </c>
      <c r="N852" t="str">
        <f t="shared" si="40"/>
        <v>Arabica</v>
      </c>
      <c r="O852" t="str">
        <f t="shared" si="41"/>
        <v>Medium</v>
      </c>
      <c r="P852" t="str">
        <f>_xlfn.XLOOKUP(Table1[[#This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IF(_xlfn.XLOOKUP(C853,customers!$A$1:$A$1001,customers!C852:C1852,,0)=0,"",_xlfn.XLOOKUP(C853,customers!$A$1:$A$1001,customers!C852:C1852,,0))</f>
        <v/>
      </c>
      <c r="H853" s="2" t="str">
        <f>_xlfn.XLOOKUP(orders!C853,customers!$A$1:$A$1001,customers!$G$1:$G$1001,,0)</f>
        <v>United States</v>
      </c>
      <c r="I853" t="str">
        <f>INDEX(products!$A$1:$G$49,MATCH(orders!$D853, products!$A$1:$A$49,0), MATCH(orders!I$1,products!$A$1:$G$1,0))</f>
        <v>Lib</v>
      </c>
      <c r="J853" t="str">
        <f>INDEX(products!$A$1:$G$49,MATCH(orders!$D853, products!$A$1:$A$49,0), MATCH(orders!J$1,products!$A$1:$G$1,0))</f>
        <v>D</v>
      </c>
      <c r="K853" s="4">
        <f>INDEX(products!$A$1:$G$49,MATCH(orders!$D853, products!$A$1:$A$49,0), MATCH(orders!K$1,products!$A$1:$G$1,0))</f>
        <v>0.5</v>
      </c>
      <c r="L853" s="5">
        <f>INDEX(products!$A$1:$G$49,MATCH(orders!$D853, products!$A$1:$A$49,0), MATCH(orders!L$1,products!$A$1:$G$1,0))</f>
        <v>7.77</v>
      </c>
      <c r="M853" s="5">
        <f t="shared" si="39"/>
        <v>7.77</v>
      </c>
      <c r="N853" t="str">
        <f t="shared" si="40"/>
        <v>Liberica</v>
      </c>
      <c r="O853" t="str">
        <f t="shared" si="41"/>
        <v>Dark</v>
      </c>
      <c r="P853" t="str">
        <f>_xlfn.XLOOKUP(Table1[[#This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IF(_xlfn.XLOOKUP(C854,customers!$A$1:$A$1001,customers!C853:C1853,,0)=0,"",_xlfn.XLOOKUP(C854,customers!$A$1:$A$1001,customers!C853:C1853,,0))</f>
        <v/>
      </c>
      <c r="H854" s="2" t="str">
        <f>_xlfn.XLOOKUP(orders!C854,customers!$A$1:$A$1001,customers!$G$1:$G$1001,,0)</f>
        <v>United States</v>
      </c>
      <c r="I854" t="str">
        <f>INDEX(products!$A$1:$G$49,MATCH(orders!$D854, products!$A$1:$A$49,0), MATCH(orders!I$1,products!$A$1:$G$1,0))</f>
        <v>Lib</v>
      </c>
      <c r="J854" t="str">
        <f>INDEX(products!$A$1:$G$49,MATCH(orders!$D854, products!$A$1:$A$49,0), MATCH(orders!J$1,products!$A$1:$G$1,0))</f>
        <v>D</v>
      </c>
      <c r="K854" s="4">
        <f>INDEX(products!$A$1:$G$49,MATCH(orders!$D854, products!$A$1:$A$49,0), MATCH(orders!K$1,products!$A$1:$G$1,0))</f>
        <v>2.5</v>
      </c>
      <c r="L854" s="5">
        <f>INDEX(products!$A$1:$G$49,MATCH(orders!$D854, products!$A$1:$A$49,0), MATCH(orders!L$1,products!$A$1:$G$1,0))</f>
        <v>29.784999999999997</v>
      </c>
      <c r="M854" s="5">
        <f t="shared" si="39"/>
        <v>119.13999999999999</v>
      </c>
      <c r="N854" t="str">
        <f t="shared" si="40"/>
        <v>Liberica</v>
      </c>
      <c r="O854" t="str">
        <f t="shared" si="41"/>
        <v>Dark</v>
      </c>
      <c r="P854" t="str">
        <f>_xlfn.XLOOKUP(Table1[[#This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IF(_xlfn.XLOOKUP(C855,customers!$A$1:$A$1001,customers!C854:C1854,,0)=0,"",_xlfn.XLOOKUP(C855,customers!$A$1:$A$1001,customers!C854:C1854,,0))</f>
        <v/>
      </c>
      <c r="H855" s="2" t="str">
        <f>_xlfn.XLOOKUP(orders!C855,customers!$A$1:$A$1001,customers!$G$1:$G$1001,,0)</f>
        <v>United States</v>
      </c>
      <c r="I855" t="str">
        <f>INDEX(products!$A$1:$G$49,MATCH(orders!$D855, products!$A$1:$A$49,0), MATCH(orders!I$1,products!$A$1:$G$1,0))</f>
        <v>Ara</v>
      </c>
      <c r="J855" t="str">
        <f>INDEX(products!$A$1:$G$49,MATCH(orders!$D855, products!$A$1:$A$49,0), MATCH(orders!J$1,products!$A$1:$G$1,0))</f>
        <v>D</v>
      </c>
      <c r="K855" s="4">
        <f>INDEX(products!$A$1:$G$49,MATCH(orders!$D855, products!$A$1:$A$49,0), MATCH(orders!K$1,products!$A$1:$G$1,0))</f>
        <v>1</v>
      </c>
      <c r="L855" s="5">
        <f>INDEX(products!$A$1:$G$49,MATCH(orders!$D855, products!$A$1:$A$49,0), MATCH(orders!L$1,products!$A$1:$G$1,0))</f>
        <v>9.9499999999999993</v>
      </c>
      <c r="M855" s="5">
        <f t="shared" si="39"/>
        <v>19.899999999999999</v>
      </c>
      <c r="N855" t="str">
        <f t="shared" si="40"/>
        <v>Arabica</v>
      </c>
      <c r="O855" t="str">
        <f t="shared" si="41"/>
        <v>Dark</v>
      </c>
      <c r="P855" t="str">
        <f>_xlfn.XLOOKUP(Table1[[#This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IF(_xlfn.XLOOKUP(C856,customers!$A$1:$A$1001,customers!C855:C1855,,0)=0,"",_xlfn.XLOOKUP(C856,customers!$A$1:$A$1001,customers!C855:C1855,,0))</f>
        <v/>
      </c>
      <c r="H856" s="2" t="str">
        <f>_xlfn.XLOOKUP(orders!C856,customers!$A$1:$A$1001,customers!$G$1:$G$1001,,0)</f>
        <v>United States</v>
      </c>
      <c r="I856" t="str">
        <f>INDEX(products!$A$1:$G$49,MATCH(orders!$D856, products!$A$1:$A$49,0), MATCH(orders!I$1,products!$A$1:$G$1,0))</f>
        <v>Rob</v>
      </c>
      <c r="J856" t="str">
        <f>INDEX(products!$A$1:$G$49,MATCH(orders!$D856, products!$A$1:$A$49,0), MATCH(orders!J$1,products!$A$1:$G$1,0))</f>
        <v>L</v>
      </c>
      <c r="K856" s="4">
        <f>INDEX(products!$A$1:$G$49,MATCH(orders!$D856, products!$A$1:$A$49,0), MATCH(orders!K$1,products!$A$1:$G$1,0))</f>
        <v>0.5</v>
      </c>
      <c r="L856" s="5">
        <f>INDEX(products!$A$1:$G$49,MATCH(orders!$D856, products!$A$1:$A$49,0), MATCH(orders!L$1,products!$A$1:$G$1,0))</f>
        <v>7.169999999999999</v>
      </c>
      <c r="M856" s="5">
        <f t="shared" si="39"/>
        <v>35.849999999999994</v>
      </c>
      <c r="N856" t="str">
        <f t="shared" si="40"/>
        <v>Robusta</v>
      </c>
      <c r="O856" t="str">
        <f t="shared" si="41"/>
        <v>Light</v>
      </c>
      <c r="P856" t="str">
        <f>_xlfn.XLOOKUP(Table1[[#This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IF(_xlfn.XLOOKUP(C857,customers!$A$1:$A$1001,customers!C856:C1856,,0)=0,"",_xlfn.XLOOKUP(C857,customers!$A$1:$A$1001,customers!C856:C1856,,0))</f>
        <v/>
      </c>
      <c r="H857" s="2" t="str">
        <f>_xlfn.XLOOKUP(orders!C857,customers!$A$1:$A$1001,customers!$G$1:$G$1001,,0)</f>
        <v>United States</v>
      </c>
      <c r="I857" t="str">
        <f>INDEX(products!$A$1:$G$49,MATCH(orders!$D857, products!$A$1:$A$49,0), MATCH(orders!I$1,products!$A$1:$G$1,0))</f>
        <v>Lib</v>
      </c>
      <c r="J857" t="str">
        <f>INDEX(products!$A$1:$G$49,MATCH(orders!$D857, products!$A$1:$A$49,0), MATCH(orders!J$1,products!$A$1:$G$1,0))</f>
        <v>D</v>
      </c>
      <c r="K857" s="4">
        <f>INDEX(products!$A$1:$G$49,MATCH(orders!$D857, products!$A$1:$A$49,0), MATCH(orders!K$1,products!$A$1:$G$1,0))</f>
        <v>2.5</v>
      </c>
      <c r="L857" s="5">
        <f>INDEX(products!$A$1:$G$49,MATCH(orders!$D857, products!$A$1:$A$49,0), MATCH(orders!L$1,products!$A$1:$G$1,0))</f>
        <v>29.784999999999997</v>
      </c>
      <c r="M857" s="5">
        <f t="shared" si="39"/>
        <v>89.35499999999999</v>
      </c>
      <c r="N857" t="str">
        <f t="shared" si="40"/>
        <v>Liberica</v>
      </c>
      <c r="O857" t="str">
        <f t="shared" si="41"/>
        <v>Dark</v>
      </c>
      <c r="P857" t="str">
        <f>_xlfn.XLOOKUP(Table1[[#This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IF(_xlfn.XLOOKUP(C858,customers!$A$1:$A$1001,customers!C857:C1857,,0)=0,"",_xlfn.XLOOKUP(C858,customers!$A$1:$A$1001,customers!C857:C1857,,0))</f>
        <v/>
      </c>
      <c r="H858" s="2" t="str">
        <f>_xlfn.XLOOKUP(orders!C858,customers!$A$1:$A$1001,customers!$G$1:$G$1001,,0)</f>
        <v>United States</v>
      </c>
      <c r="I858" t="str">
        <f>INDEX(products!$A$1:$G$49,MATCH(orders!$D858, products!$A$1:$A$49,0), MATCH(orders!I$1,products!$A$1:$G$1,0))</f>
        <v>Lib</v>
      </c>
      <c r="J858" t="str">
        <f>INDEX(products!$A$1:$G$49,MATCH(orders!$D858, products!$A$1:$A$49,0), MATCH(orders!J$1,products!$A$1:$G$1,0))</f>
        <v>M</v>
      </c>
      <c r="K858" s="4">
        <f>INDEX(products!$A$1:$G$49,MATCH(orders!$D858, products!$A$1:$A$49,0), MATCH(orders!K$1,products!$A$1:$G$1,0))</f>
        <v>0.2</v>
      </c>
      <c r="L858" s="5">
        <f>INDEX(products!$A$1:$G$49,MATCH(orders!$D858, products!$A$1:$A$49,0), MATCH(orders!L$1,products!$A$1:$G$1,0))</f>
        <v>4.3650000000000002</v>
      </c>
      <c r="M858" s="5">
        <f t="shared" si="39"/>
        <v>8.73</v>
      </c>
      <c r="N858" t="str">
        <f t="shared" si="40"/>
        <v>Liberica</v>
      </c>
      <c r="O858" t="str">
        <f t="shared" si="41"/>
        <v>Medium</v>
      </c>
      <c r="P858" t="str">
        <f>_xlfn.XLOOKUP(Table1[[#This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IF(_xlfn.XLOOKUP(C859,customers!$A$1:$A$1001,customers!C858:C1858,,0)=0,"",_xlfn.XLOOKUP(C859,customers!$A$1:$A$1001,customers!C858:C1858,,0))</f>
        <v/>
      </c>
      <c r="H859" s="2" t="str">
        <f>_xlfn.XLOOKUP(orders!C859,customers!$A$1:$A$1001,customers!$G$1:$G$1001,,0)</f>
        <v>United States</v>
      </c>
      <c r="I859" t="str">
        <f>INDEX(products!$A$1:$G$49,MATCH(orders!$D859, products!$A$1:$A$49,0), MATCH(orders!I$1,products!$A$1:$G$1,0))</f>
        <v>Rob</v>
      </c>
      <c r="J859" t="str">
        <f>INDEX(products!$A$1:$G$49,MATCH(orders!$D859, products!$A$1:$A$49,0), MATCH(orders!J$1,products!$A$1:$G$1,0))</f>
        <v>L</v>
      </c>
      <c r="K859" s="4">
        <f>INDEX(products!$A$1:$G$49,MATCH(orders!$D859, products!$A$1:$A$49,0), MATCH(orders!K$1,products!$A$1:$G$1,0))</f>
        <v>2.5</v>
      </c>
      <c r="L859" s="5">
        <f>INDEX(products!$A$1:$G$49,MATCH(orders!$D859, products!$A$1:$A$49,0), MATCH(orders!L$1,products!$A$1:$G$1,0))</f>
        <v>27.484999999999996</v>
      </c>
      <c r="M859" s="5">
        <f t="shared" si="39"/>
        <v>137.42499999999998</v>
      </c>
      <c r="N859" t="str">
        <f t="shared" si="40"/>
        <v>Robusta</v>
      </c>
      <c r="O859" t="str">
        <f t="shared" si="41"/>
        <v>Light</v>
      </c>
      <c r="P859" t="str">
        <f>_xlfn.XLOOKUP(Table1[[#This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IF(_xlfn.XLOOKUP(C860,customers!$A$1:$A$1001,customers!C859:C1859,,0)=0,"",_xlfn.XLOOKUP(C860,customers!$A$1:$A$1001,customers!C859:C1859,,0))</f>
        <v/>
      </c>
      <c r="H860" s="2" t="str">
        <f>_xlfn.XLOOKUP(orders!C860,customers!$A$1:$A$1001,customers!$G$1:$G$1001,,0)</f>
        <v>United States</v>
      </c>
      <c r="I860" t="str">
        <f>INDEX(products!$A$1:$G$49,MATCH(orders!$D860, products!$A$1:$A$49,0), MATCH(orders!I$1,products!$A$1:$G$1,0))</f>
        <v>Lib</v>
      </c>
      <c r="J860" t="str">
        <f>INDEX(products!$A$1:$G$49,MATCH(orders!$D860, products!$A$1:$A$49,0), MATCH(orders!J$1,products!$A$1:$G$1,0))</f>
        <v>M</v>
      </c>
      <c r="K860" s="4">
        <f>INDEX(products!$A$1:$G$49,MATCH(orders!$D860, products!$A$1:$A$49,0), MATCH(orders!K$1,products!$A$1:$G$1,0))</f>
        <v>0.5</v>
      </c>
      <c r="L860" s="5">
        <f>INDEX(products!$A$1:$G$49,MATCH(orders!$D860, products!$A$1:$A$49,0), MATCH(orders!L$1,products!$A$1:$G$1,0))</f>
        <v>8.73</v>
      </c>
      <c r="M860" s="5">
        <f t="shared" si="39"/>
        <v>34.92</v>
      </c>
      <c r="N860" t="str">
        <f t="shared" si="40"/>
        <v>Liberica</v>
      </c>
      <c r="O860" t="str">
        <f t="shared" si="41"/>
        <v>Medium</v>
      </c>
      <c r="P860" t="str">
        <f>_xlfn.XLOOKUP(Table1[[#This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IF(_xlfn.XLOOKUP(C861,customers!$A$1:$A$1001,customers!C860:C1860,,0)=0,"",_xlfn.XLOOKUP(C861,customers!$A$1:$A$1001,customers!C860:C1860,,0))</f>
        <v/>
      </c>
      <c r="H861" s="2" t="str">
        <f>_xlfn.XLOOKUP(orders!C861,customers!$A$1:$A$1001,customers!$G$1:$G$1001,,0)</f>
        <v>United States</v>
      </c>
      <c r="I861" t="str">
        <f>INDEX(products!$A$1:$G$49,MATCH(orders!$D861, products!$A$1:$A$49,0), MATCH(orders!I$1,products!$A$1:$G$1,0))</f>
        <v>Ara</v>
      </c>
      <c r="J861" t="str">
        <f>INDEX(products!$A$1:$G$49,MATCH(orders!$D861, products!$A$1:$A$49,0), MATCH(orders!J$1,products!$A$1:$G$1,0))</f>
        <v>L</v>
      </c>
      <c r="K861" s="4">
        <f>INDEX(products!$A$1:$G$49,MATCH(orders!$D861, products!$A$1:$A$49,0), MATCH(orders!K$1,products!$A$1:$G$1,0))</f>
        <v>2.5</v>
      </c>
      <c r="L861" s="5">
        <f>INDEX(products!$A$1:$G$49,MATCH(orders!$D861, products!$A$1:$A$49,0), MATCH(orders!L$1,products!$A$1:$G$1,0))</f>
        <v>29.784999999999997</v>
      </c>
      <c r="M861" s="5">
        <f t="shared" si="39"/>
        <v>178.70999999999998</v>
      </c>
      <c r="N861" t="str">
        <f t="shared" si="40"/>
        <v>Arabica</v>
      </c>
      <c r="O861" t="str">
        <f t="shared" si="41"/>
        <v>Light</v>
      </c>
      <c r="P861" t="str">
        <f>_xlfn.XLOOKUP(Table1[[#This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IF(_xlfn.XLOOKUP(C862,customers!$A$1:$A$1001,customers!C861:C1861,,0)=0,"",_xlfn.XLOOKUP(C862,customers!$A$1:$A$1001,customers!C861:C1861,,0))</f>
        <v/>
      </c>
      <c r="H862" s="2" t="str">
        <f>_xlfn.XLOOKUP(orders!C862,customers!$A$1:$A$1001,customers!$G$1:$G$1001,,0)</f>
        <v>United States</v>
      </c>
      <c r="I862" t="str">
        <f>INDEX(products!$A$1:$G$49,MATCH(orders!$D862, products!$A$1:$A$49,0), MATCH(orders!I$1,products!$A$1:$G$1,0))</f>
        <v>Ara</v>
      </c>
      <c r="J862" t="str">
        <f>INDEX(products!$A$1:$G$49,MATCH(orders!$D862, products!$A$1:$A$49,0), MATCH(orders!J$1,products!$A$1:$G$1,0))</f>
        <v>M</v>
      </c>
      <c r="K862" s="4">
        <f>INDEX(products!$A$1:$G$49,MATCH(orders!$D862, products!$A$1:$A$49,0), MATCH(orders!K$1,products!$A$1:$G$1,0))</f>
        <v>2.5</v>
      </c>
      <c r="L862" s="5">
        <f>INDEX(products!$A$1:$G$49,MATCH(orders!$D862, products!$A$1:$A$49,0), MATCH(orders!L$1,products!$A$1:$G$1,0))</f>
        <v>25.874999999999996</v>
      </c>
      <c r="M862" s="5">
        <f t="shared" si="39"/>
        <v>25.874999999999996</v>
      </c>
      <c r="N862" t="str">
        <f t="shared" si="40"/>
        <v>Arabica</v>
      </c>
      <c r="O862" t="str">
        <f t="shared" si="41"/>
        <v>Medium</v>
      </c>
      <c r="P862" t="str">
        <f>_xlfn.XLOOKUP(Table1[[#This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IF(_xlfn.XLOOKUP(C863,customers!$A$1:$A$1001,customers!C862:C1862,,0)=0,"",_xlfn.XLOOKUP(C863,customers!$A$1:$A$1001,customers!C862:C1862,,0))</f>
        <v/>
      </c>
      <c r="H863" s="2" t="str">
        <f>_xlfn.XLOOKUP(orders!C863,customers!$A$1:$A$1001,customers!$G$1:$G$1001,,0)</f>
        <v>United States</v>
      </c>
      <c r="I863" t="str">
        <f>INDEX(products!$A$1:$G$49,MATCH(orders!$D863, products!$A$1:$A$49,0), MATCH(orders!I$1,products!$A$1:$G$1,0))</f>
        <v>Lib</v>
      </c>
      <c r="J863" t="str">
        <f>INDEX(products!$A$1:$G$49,MATCH(orders!$D863, products!$A$1:$A$49,0), MATCH(orders!J$1,products!$A$1:$G$1,0))</f>
        <v>D</v>
      </c>
      <c r="K863" s="4">
        <f>INDEX(products!$A$1:$G$49,MATCH(orders!$D863, products!$A$1:$A$49,0), MATCH(orders!K$1,products!$A$1:$G$1,0))</f>
        <v>1</v>
      </c>
      <c r="L863" s="5">
        <f>INDEX(products!$A$1:$G$49,MATCH(orders!$D863, products!$A$1:$A$49,0), MATCH(orders!L$1,products!$A$1:$G$1,0))</f>
        <v>12.95</v>
      </c>
      <c r="M863" s="5">
        <f t="shared" si="39"/>
        <v>77.699999999999989</v>
      </c>
      <c r="N863" t="str">
        <f t="shared" si="40"/>
        <v>Liberica</v>
      </c>
      <c r="O863" t="str">
        <f t="shared" si="41"/>
        <v>Dark</v>
      </c>
      <c r="P863" t="str">
        <f>_xlfn.XLOOKUP(Table1[[#This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IF(_xlfn.XLOOKUP(C864,customers!$A$1:$A$1001,customers!C863:C1863,,0)=0,"",_xlfn.XLOOKUP(C864,customers!$A$1:$A$1001,customers!C863:C1863,,0))</f>
        <v/>
      </c>
      <c r="H864" s="2" t="str">
        <f>_xlfn.XLOOKUP(orders!C864,customers!$A$1:$A$1001,customers!$G$1:$G$1001,,0)</f>
        <v>United States</v>
      </c>
      <c r="I864" t="str">
        <f>INDEX(products!$A$1:$G$49,MATCH(orders!$D864, products!$A$1:$A$49,0), MATCH(orders!I$1,products!$A$1:$G$1,0))</f>
        <v>Rob</v>
      </c>
      <c r="J864" t="str">
        <f>INDEX(products!$A$1:$G$49,MATCH(orders!$D864, products!$A$1:$A$49,0), MATCH(orders!J$1,products!$A$1:$G$1,0))</f>
        <v>M</v>
      </c>
      <c r="K864" s="4">
        <f>INDEX(products!$A$1:$G$49,MATCH(orders!$D864, products!$A$1:$A$49,0), MATCH(orders!K$1,products!$A$1:$G$1,0))</f>
        <v>1</v>
      </c>
      <c r="L864" s="5">
        <f>INDEX(products!$A$1:$G$49,MATCH(orders!$D864, products!$A$1:$A$49,0), MATCH(orders!L$1,products!$A$1:$G$1,0))</f>
        <v>9.9499999999999993</v>
      </c>
      <c r="M864" s="5">
        <f t="shared" si="39"/>
        <v>9.9499999999999993</v>
      </c>
      <c r="N864" t="str">
        <f t="shared" si="40"/>
        <v>Robusta</v>
      </c>
      <c r="O864" t="str">
        <f t="shared" si="41"/>
        <v>Medium</v>
      </c>
      <c r="P864" t="str">
        <f>_xlfn.XLOOKUP(Table1[[#This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IF(_xlfn.XLOOKUP(C865,customers!$A$1:$A$1001,customers!C864:C1864,,0)=0,"",_xlfn.XLOOKUP(C865,customers!$A$1:$A$1001,customers!C864:C1864,,0))</f>
        <v/>
      </c>
      <c r="H865" s="2" t="str">
        <f>_xlfn.XLOOKUP(orders!C865,customers!$A$1:$A$1001,customers!$G$1:$G$1001,,0)</f>
        <v>United States</v>
      </c>
      <c r="I865" t="str">
        <f>INDEX(products!$A$1:$G$49,MATCH(orders!$D865, products!$A$1:$A$49,0), MATCH(orders!I$1,products!$A$1:$G$1,0))</f>
        <v>Lib</v>
      </c>
      <c r="J865" t="str">
        <f>INDEX(products!$A$1:$G$49,MATCH(orders!$D865, products!$A$1:$A$49,0), MATCH(orders!J$1,products!$A$1:$G$1,0))</f>
        <v>M</v>
      </c>
      <c r="K865" s="4">
        <f>INDEX(products!$A$1:$G$49,MATCH(orders!$D865, products!$A$1:$A$49,0), MATCH(orders!K$1,products!$A$1:$G$1,0))</f>
        <v>1</v>
      </c>
      <c r="L865" s="5">
        <f>INDEX(products!$A$1:$G$49,MATCH(orders!$D865, products!$A$1:$A$49,0), MATCH(orders!L$1,products!$A$1:$G$1,0))</f>
        <v>14.55</v>
      </c>
      <c r="M865" s="5">
        <f t="shared" si="39"/>
        <v>29.1</v>
      </c>
      <c r="N865" t="str">
        <f t="shared" si="40"/>
        <v>Liberica</v>
      </c>
      <c r="O865" t="str">
        <f t="shared" si="41"/>
        <v>Medium</v>
      </c>
      <c r="P865" t="str">
        <f>_xlfn.XLOOKUP(Table1[[#This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IF(_xlfn.XLOOKUP(C866,customers!$A$1:$A$1001,customers!C865:C1865,,0)=0,"",_xlfn.XLOOKUP(C866,customers!$A$1:$A$1001,customers!C865:C1865,,0))</f>
        <v/>
      </c>
      <c r="H866" s="2" t="str">
        <f>_xlfn.XLOOKUP(orders!C866,customers!$A$1:$A$1001,customers!$G$1:$G$1001,,0)</f>
        <v>Ireland</v>
      </c>
      <c r="I866" t="str">
        <f>INDEX(products!$A$1:$G$49,MATCH(orders!$D866, products!$A$1:$A$49,0), MATCH(orders!I$1,products!$A$1:$G$1,0))</f>
        <v>Rob</v>
      </c>
      <c r="J866" t="str">
        <f>INDEX(products!$A$1:$G$49,MATCH(orders!$D866, products!$A$1:$A$49,0), MATCH(orders!J$1,products!$A$1:$G$1,0))</f>
        <v>L</v>
      </c>
      <c r="K866" s="4">
        <f>INDEX(products!$A$1:$G$49,MATCH(orders!$D866, products!$A$1:$A$49,0), MATCH(orders!K$1,products!$A$1:$G$1,0))</f>
        <v>0.2</v>
      </c>
      <c r="L866" s="5">
        <f>INDEX(products!$A$1:$G$49,MATCH(orders!$D866, products!$A$1:$A$49,0), MATCH(orders!L$1,products!$A$1:$G$1,0))</f>
        <v>3.5849999999999995</v>
      </c>
      <c r="M866" s="5">
        <f t="shared" si="39"/>
        <v>21.509999999999998</v>
      </c>
      <c r="N866" t="str">
        <f t="shared" si="40"/>
        <v>Robusta</v>
      </c>
      <c r="O866" t="str">
        <f t="shared" si="41"/>
        <v>Light</v>
      </c>
      <c r="P866" t="str">
        <f>_xlfn.XLOOKUP(Table1[[#This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IF(_xlfn.XLOOKUP(C867,customers!$A$1:$A$1001,customers!C866:C1866,,0)=0,"",_xlfn.XLOOKUP(C867,customers!$A$1:$A$1001,customers!C866:C1866,,0))</f>
        <v/>
      </c>
      <c r="H867" s="2" t="str">
        <f>_xlfn.XLOOKUP(orders!C867,customers!$A$1:$A$1001,customers!$G$1:$G$1001,,0)</f>
        <v>United States</v>
      </c>
      <c r="I867" t="str">
        <f>INDEX(products!$A$1:$G$49,MATCH(orders!$D867, products!$A$1:$A$49,0), MATCH(orders!I$1,products!$A$1:$G$1,0))</f>
        <v>Ara</v>
      </c>
      <c r="J867" t="str">
        <f>INDEX(products!$A$1:$G$49,MATCH(orders!$D867, products!$A$1:$A$49,0), MATCH(orders!J$1,products!$A$1:$G$1,0))</f>
        <v>M</v>
      </c>
      <c r="K867" s="4">
        <f>INDEX(products!$A$1:$G$49,MATCH(orders!$D867, products!$A$1:$A$49,0), MATCH(orders!K$1,products!$A$1:$G$1,0))</f>
        <v>0.5</v>
      </c>
      <c r="L867" s="5">
        <f>INDEX(products!$A$1:$G$49,MATCH(orders!$D867, products!$A$1:$A$49,0), MATCH(orders!L$1,products!$A$1:$G$1,0))</f>
        <v>6.75</v>
      </c>
      <c r="M867" s="5">
        <f t="shared" si="39"/>
        <v>6.75</v>
      </c>
      <c r="N867" t="str">
        <f t="shared" si="40"/>
        <v>Arabica</v>
      </c>
      <c r="O867" t="str">
        <f t="shared" si="41"/>
        <v>Medium</v>
      </c>
      <c r="P867" t="str">
        <f>_xlfn.XLOOKUP(Table1[[#This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IF(_xlfn.XLOOKUP(C868,customers!$A$1:$A$1001,customers!C867:C1867,,0)=0,"",_xlfn.XLOOKUP(C868,customers!$A$1:$A$1001,customers!C867:C1867,,0))</f>
        <v/>
      </c>
      <c r="H868" s="2" t="str">
        <f>_xlfn.XLOOKUP(orders!C868,customers!$A$1:$A$1001,customers!$G$1:$G$1001,,0)</f>
        <v>Ireland</v>
      </c>
      <c r="I868" t="str">
        <f>INDEX(products!$A$1:$G$49,MATCH(orders!$D868, products!$A$1:$A$49,0), MATCH(orders!I$1,products!$A$1:$G$1,0))</f>
        <v>Ara</v>
      </c>
      <c r="J868" t="str">
        <f>INDEX(products!$A$1:$G$49,MATCH(orders!$D868, products!$A$1:$A$49,0), MATCH(orders!J$1,products!$A$1:$G$1,0))</f>
        <v>D</v>
      </c>
      <c r="K868" s="4">
        <f>INDEX(products!$A$1:$G$49,MATCH(orders!$D868, products!$A$1:$A$49,0), MATCH(orders!K$1,products!$A$1:$G$1,0))</f>
        <v>0.5</v>
      </c>
      <c r="L868" s="5">
        <f>INDEX(products!$A$1:$G$49,MATCH(orders!$D868, products!$A$1:$A$49,0), MATCH(orders!L$1,products!$A$1:$G$1,0))</f>
        <v>5.97</v>
      </c>
      <c r="M868" s="5">
        <f t="shared" si="39"/>
        <v>17.91</v>
      </c>
      <c r="N868" t="str">
        <f t="shared" si="40"/>
        <v>Arabica</v>
      </c>
      <c r="O868" t="str">
        <f t="shared" si="41"/>
        <v>Dark</v>
      </c>
      <c r="P868" t="str">
        <f>_xlfn.XLOOKUP(Table1[[#This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IF(_xlfn.XLOOKUP(C869,customers!$A$1:$A$1001,customers!C868:C1868,,0)=0,"",_xlfn.XLOOKUP(C869,customers!$A$1:$A$1001,customers!C868:C1868,,0))</f>
        <v/>
      </c>
      <c r="H869" s="2" t="str">
        <f>_xlfn.XLOOKUP(orders!C869,customers!$A$1:$A$1001,customers!$G$1:$G$1001,,0)</f>
        <v>Ireland</v>
      </c>
      <c r="I869" t="str">
        <f>INDEX(products!$A$1:$G$49,MATCH(orders!$D869, products!$A$1:$A$49,0), MATCH(orders!I$1,products!$A$1:$G$1,0))</f>
        <v>Ara</v>
      </c>
      <c r="J869" t="str">
        <f>INDEX(products!$A$1:$G$49,MATCH(orders!$D869, products!$A$1:$A$49,0), MATCH(orders!J$1,products!$A$1:$G$1,0))</f>
        <v>L</v>
      </c>
      <c r="K869" s="4">
        <f>INDEX(products!$A$1:$G$49,MATCH(orders!$D869, products!$A$1:$A$49,0), MATCH(orders!K$1,products!$A$1:$G$1,0))</f>
        <v>2.5</v>
      </c>
      <c r="L869" s="5">
        <f>INDEX(products!$A$1:$G$49,MATCH(orders!$D869, products!$A$1:$A$49,0), MATCH(orders!L$1,products!$A$1:$G$1,0))</f>
        <v>29.784999999999997</v>
      </c>
      <c r="M869" s="5">
        <f t="shared" si="39"/>
        <v>29.784999999999997</v>
      </c>
      <c r="N869" t="str">
        <f t="shared" si="40"/>
        <v>Arabica</v>
      </c>
      <c r="O869" t="str">
        <f t="shared" si="41"/>
        <v>Light</v>
      </c>
      <c r="P869" t="str">
        <f>_xlfn.XLOOKUP(Table1[[#This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IF(_xlfn.XLOOKUP(C870,customers!$A$1:$A$1001,customers!C869:C1869,,0)=0,"",_xlfn.XLOOKUP(C870,customers!$A$1:$A$1001,customers!C869:C1869,,0))</f>
        <v/>
      </c>
      <c r="H870" s="2" t="str">
        <f>_xlfn.XLOOKUP(orders!C870,customers!$A$1:$A$1001,customers!$G$1:$G$1001,,0)</f>
        <v>United States</v>
      </c>
      <c r="I870" t="str">
        <f>INDEX(products!$A$1:$G$49,MATCH(orders!$D870, products!$A$1:$A$49,0), MATCH(orders!I$1,products!$A$1:$G$1,0))</f>
        <v>Exc</v>
      </c>
      <c r="J870" t="str">
        <f>INDEX(products!$A$1:$G$49,MATCH(orders!$D870, products!$A$1:$A$49,0), MATCH(orders!J$1,products!$A$1:$G$1,0))</f>
        <v>M</v>
      </c>
      <c r="K870" s="4">
        <f>INDEX(products!$A$1:$G$49,MATCH(orders!$D870, products!$A$1:$A$49,0), MATCH(orders!K$1,products!$A$1:$G$1,0))</f>
        <v>0.5</v>
      </c>
      <c r="L870" s="5">
        <f>INDEX(products!$A$1:$G$49,MATCH(orders!$D870, products!$A$1:$A$49,0), MATCH(orders!L$1,products!$A$1:$G$1,0))</f>
        <v>8.25</v>
      </c>
      <c r="M870" s="5">
        <f t="shared" si="39"/>
        <v>41.25</v>
      </c>
      <c r="N870" t="str">
        <f t="shared" si="40"/>
        <v>Excelsa</v>
      </c>
      <c r="O870" t="str">
        <f t="shared" si="41"/>
        <v>Medium</v>
      </c>
      <c r="P870" t="str">
        <f>_xlfn.XLOOKUP(Table1[[#This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IF(_xlfn.XLOOKUP(C871,customers!$A$1:$A$1001,customers!C870:C1870,,0)=0,"",_xlfn.XLOOKUP(C871,customers!$A$1:$A$1001,customers!C870:C1870,,0))</f>
        <v/>
      </c>
      <c r="H871" s="2" t="str">
        <f>_xlfn.XLOOKUP(orders!C871,customers!$A$1:$A$1001,customers!$G$1:$G$1001,,0)</f>
        <v>United States</v>
      </c>
      <c r="I871" t="str">
        <f>INDEX(products!$A$1:$G$49,MATCH(orders!$D871, products!$A$1:$A$49,0), MATCH(orders!I$1,products!$A$1:$G$1,0))</f>
        <v>Rob</v>
      </c>
      <c r="J871" t="str">
        <f>INDEX(products!$A$1:$G$49,MATCH(orders!$D871, products!$A$1:$A$49,0), MATCH(orders!J$1,products!$A$1:$G$1,0))</f>
        <v>M</v>
      </c>
      <c r="K871" s="4">
        <f>INDEX(products!$A$1:$G$49,MATCH(orders!$D871, products!$A$1:$A$49,0), MATCH(orders!K$1,products!$A$1:$G$1,0))</f>
        <v>0.5</v>
      </c>
      <c r="L871" s="5">
        <f>INDEX(products!$A$1:$G$49,MATCH(orders!$D871, products!$A$1:$A$49,0), MATCH(orders!L$1,products!$A$1:$G$1,0))</f>
        <v>5.97</v>
      </c>
      <c r="M871" s="5">
        <f t="shared" si="39"/>
        <v>17.91</v>
      </c>
      <c r="N871" t="str">
        <f t="shared" si="40"/>
        <v>Robusta</v>
      </c>
      <c r="O871" t="str">
        <f t="shared" si="41"/>
        <v>Medium</v>
      </c>
      <c r="P871" t="str">
        <f>_xlfn.XLOOKUP(Table1[[#This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IF(_xlfn.XLOOKUP(C872,customers!$A$1:$A$1001,customers!C871:C1871,,0)=0,"",_xlfn.XLOOKUP(C872,customers!$A$1:$A$1001,customers!C871:C1871,,0))</f>
        <v/>
      </c>
      <c r="H872" s="2" t="str">
        <f>_xlfn.XLOOKUP(orders!C872,customers!$A$1:$A$1001,customers!$G$1:$G$1001,,0)</f>
        <v>Ireland</v>
      </c>
      <c r="I872" t="str">
        <f>INDEX(products!$A$1:$G$49,MATCH(orders!$D872, products!$A$1:$A$49,0), MATCH(orders!I$1,products!$A$1:$G$1,0))</f>
        <v>Exc</v>
      </c>
      <c r="J872" t="str">
        <f>INDEX(products!$A$1:$G$49,MATCH(orders!$D872, products!$A$1:$A$49,0), MATCH(orders!J$1,products!$A$1:$G$1,0))</f>
        <v>D</v>
      </c>
      <c r="K872" s="4">
        <f>INDEX(products!$A$1:$G$49,MATCH(orders!$D872, products!$A$1:$A$49,0), MATCH(orders!K$1,products!$A$1:$G$1,0))</f>
        <v>0.5</v>
      </c>
      <c r="L872" s="5">
        <f>INDEX(products!$A$1:$G$49,MATCH(orders!$D872, products!$A$1:$A$49,0), MATCH(orders!L$1,products!$A$1:$G$1,0))</f>
        <v>7.29</v>
      </c>
      <c r="M872" s="5">
        <f t="shared" si="39"/>
        <v>7.29</v>
      </c>
      <c r="N872" t="str">
        <f t="shared" si="40"/>
        <v>Excelsa</v>
      </c>
      <c r="O872" t="str">
        <f t="shared" si="41"/>
        <v>Dark</v>
      </c>
      <c r="P872" t="str">
        <f>_xlfn.XLOOKUP(Table1[[#This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IF(_xlfn.XLOOKUP(C873,customers!$A$1:$A$1001,customers!C872:C1872,,0)=0,"",_xlfn.XLOOKUP(C873,customers!$A$1:$A$1001,customers!C872:C1872,,0))</f>
        <v/>
      </c>
      <c r="H873" s="2" t="str">
        <f>_xlfn.XLOOKUP(orders!C873,customers!$A$1:$A$1001,customers!$G$1:$G$1001,,0)</f>
        <v>United Kingdom</v>
      </c>
      <c r="I873" t="str">
        <f>INDEX(products!$A$1:$G$49,MATCH(orders!$D873, products!$A$1:$A$49,0), MATCH(orders!I$1,products!$A$1:$G$1,0))</f>
        <v>Exc</v>
      </c>
      <c r="J873" t="str">
        <f>INDEX(products!$A$1:$G$49,MATCH(orders!$D873, products!$A$1:$A$49,0), MATCH(orders!J$1,products!$A$1:$G$1,0))</f>
        <v>L</v>
      </c>
      <c r="K873" s="4">
        <f>INDEX(products!$A$1:$G$49,MATCH(orders!$D873, products!$A$1:$A$49,0), MATCH(orders!K$1,products!$A$1:$G$1,0))</f>
        <v>1</v>
      </c>
      <c r="L873" s="5">
        <f>INDEX(products!$A$1:$G$49,MATCH(orders!$D873, products!$A$1:$A$49,0), MATCH(orders!L$1,products!$A$1:$G$1,0))</f>
        <v>14.85</v>
      </c>
      <c r="M873" s="5">
        <f t="shared" si="39"/>
        <v>29.7</v>
      </c>
      <c r="N873" t="str">
        <f t="shared" si="40"/>
        <v>Excelsa</v>
      </c>
      <c r="O873" t="str">
        <f t="shared" si="41"/>
        <v>Light</v>
      </c>
      <c r="P873" t="str">
        <f>_xlfn.XLOOKUP(Table1[[#This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IF(_xlfn.XLOOKUP(C874,customers!$A$1:$A$1001,customers!C873:C1873,,0)=0,"",_xlfn.XLOOKUP(C874,customers!$A$1:$A$1001,customers!C873:C1873,,0))</f>
        <v/>
      </c>
      <c r="H874" s="2" t="str">
        <f>_xlfn.XLOOKUP(orders!C874,customers!$A$1:$A$1001,customers!$G$1:$G$1001,,0)</f>
        <v>United States</v>
      </c>
      <c r="I874" t="str">
        <f>INDEX(products!$A$1:$G$49,MATCH(orders!$D874, products!$A$1:$A$49,0), MATCH(orders!I$1,products!$A$1:$G$1,0))</f>
        <v>Ara</v>
      </c>
      <c r="J874" t="str">
        <f>INDEX(products!$A$1:$G$49,MATCH(orders!$D874, products!$A$1:$A$49,0), MATCH(orders!J$1,products!$A$1:$G$1,0))</f>
        <v>M</v>
      </c>
      <c r="K874" s="4">
        <f>INDEX(products!$A$1:$G$49,MATCH(orders!$D874, products!$A$1:$A$49,0), MATCH(orders!K$1,products!$A$1:$G$1,0))</f>
        <v>1</v>
      </c>
      <c r="L874" s="5">
        <f>INDEX(products!$A$1:$G$49,MATCH(orders!$D874, products!$A$1:$A$49,0), MATCH(orders!L$1,products!$A$1:$G$1,0))</f>
        <v>11.25</v>
      </c>
      <c r="M874" s="5">
        <f t="shared" si="39"/>
        <v>22.5</v>
      </c>
      <c r="N874" t="str">
        <f t="shared" si="40"/>
        <v>Arabica</v>
      </c>
      <c r="O874" t="str">
        <f t="shared" si="41"/>
        <v>Medium</v>
      </c>
      <c r="P874" t="str">
        <f>_xlfn.XLOOKUP(Table1[[#This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IF(_xlfn.XLOOKUP(C875,customers!$A$1:$A$1001,customers!C874:C1874,,0)=0,"",_xlfn.XLOOKUP(C875,customers!$A$1:$A$1001,customers!C874:C1874,,0))</f>
        <v/>
      </c>
      <c r="H875" s="2" t="str">
        <f>_xlfn.XLOOKUP(orders!C875,customers!$A$1:$A$1001,customers!$G$1:$G$1001,,0)</f>
        <v>United States</v>
      </c>
      <c r="I875" t="str">
        <f>INDEX(products!$A$1:$G$49,MATCH(orders!$D875, products!$A$1:$A$49,0), MATCH(orders!I$1,products!$A$1:$G$1,0))</f>
        <v>Rob</v>
      </c>
      <c r="J875" t="str">
        <f>INDEX(products!$A$1:$G$49,MATCH(orders!$D875, products!$A$1:$A$49,0), MATCH(orders!J$1,products!$A$1:$G$1,0))</f>
        <v>M</v>
      </c>
      <c r="K875" s="4">
        <f>INDEX(products!$A$1:$G$49,MATCH(orders!$D875, products!$A$1:$A$49,0), MATCH(orders!K$1,products!$A$1:$G$1,0))</f>
        <v>0.2</v>
      </c>
      <c r="L875" s="5">
        <f>INDEX(products!$A$1:$G$49,MATCH(orders!$D875, products!$A$1:$A$49,0), MATCH(orders!L$1,products!$A$1:$G$1,0))</f>
        <v>2.9849999999999999</v>
      </c>
      <c r="M875" s="5">
        <f t="shared" si="39"/>
        <v>11.94</v>
      </c>
      <c r="N875" t="str">
        <f t="shared" si="40"/>
        <v>Robusta</v>
      </c>
      <c r="O875" t="str">
        <f t="shared" si="41"/>
        <v>Medium</v>
      </c>
      <c r="P875" t="str">
        <f>_xlfn.XLOOKUP(Table1[[#This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IF(_xlfn.XLOOKUP(C876,customers!$A$1:$A$1001,customers!C875:C1875,,0)=0,"",_xlfn.XLOOKUP(C876,customers!$A$1:$A$1001,customers!C875:C1875,,0))</f>
        <v/>
      </c>
      <c r="H876" s="2" t="str">
        <f>_xlfn.XLOOKUP(orders!C876,customers!$A$1:$A$1001,customers!$G$1:$G$1001,,0)</f>
        <v>United States</v>
      </c>
      <c r="I876" t="str">
        <f>INDEX(products!$A$1:$G$49,MATCH(orders!$D876, products!$A$1:$A$49,0), MATCH(orders!I$1,products!$A$1:$G$1,0))</f>
        <v>Ara</v>
      </c>
      <c r="J876" t="str">
        <f>INDEX(products!$A$1:$G$49,MATCH(orders!$D876, products!$A$1:$A$49,0), MATCH(orders!J$1,products!$A$1:$G$1,0))</f>
        <v>L</v>
      </c>
      <c r="K876" s="4">
        <f>INDEX(products!$A$1:$G$49,MATCH(orders!$D876, products!$A$1:$A$49,0), MATCH(orders!K$1,products!$A$1:$G$1,0))</f>
        <v>1</v>
      </c>
      <c r="L876" s="5">
        <f>INDEX(products!$A$1:$G$49,MATCH(orders!$D876, products!$A$1:$A$49,0), MATCH(orders!L$1,products!$A$1:$G$1,0))</f>
        <v>12.95</v>
      </c>
      <c r="M876" s="5">
        <f t="shared" si="39"/>
        <v>25.9</v>
      </c>
      <c r="N876" t="str">
        <f t="shared" si="40"/>
        <v>Arabica</v>
      </c>
      <c r="O876" t="str">
        <f t="shared" si="41"/>
        <v>Light</v>
      </c>
      <c r="P876" t="str">
        <f>_xlfn.XLOOKUP(Table1[[#This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IF(_xlfn.XLOOKUP(C877,customers!$A$1:$A$1001,customers!C876:C1876,,0)=0,"",_xlfn.XLOOKUP(C877,customers!$A$1:$A$1001,customers!C876:C1876,,0))</f>
        <v/>
      </c>
      <c r="H877" s="2" t="str">
        <f>_xlfn.XLOOKUP(orders!C877,customers!$A$1:$A$1001,customers!$G$1:$G$1001,,0)</f>
        <v>Ireland</v>
      </c>
      <c r="I877" t="str">
        <f>INDEX(products!$A$1:$G$49,MATCH(orders!$D877, products!$A$1:$A$49,0), MATCH(orders!I$1,products!$A$1:$G$1,0))</f>
        <v>Lib</v>
      </c>
      <c r="J877" t="str">
        <f>INDEX(products!$A$1:$G$49,MATCH(orders!$D877, products!$A$1:$A$49,0), MATCH(orders!J$1,products!$A$1:$G$1,0))</f>
        <v>M</v>
      </c>
      <c r="K877" s="4">
        <f>INDEX(products!$A$1:$G$49,MATCH(orders!$D877, products!$A$1:$A$49,0), MATCH(orders!K$1,products!$A$1:$G$1,0))</f>
        <v>0.5</v>
      </c>
      <c r="L877" s="5">
        <f>INDEX(products!$A$1:$G$49,MATCH(orders!$D877, products!$A$1:$A$49,0), MATCH(orders!L$1,products!$A$1:$G$1,0))</f>
        <v>8.73</v>
      </c>
      <c r="M877" s="5">
        <f t="shared" si="39"/>
        <v>43.650000000000006</v>
      </c>
      <c r="N877" t="str">
        <f t="shared" si="40"/>
        <v>Liberica</v>
      </c>
      <c r="O877" t="str">
        <f t="shared" si="41"/>
        <v>Medium</v>
      </c>
      <c r="P877" t="str">
        <f>_xlfn.XLOOKUP(Table1[[#This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IF(_xlfn.XLOOKUP(C878,customers!$A$1:$A$1001,customers!C877:C1877,,0)=0,"",_xlfn.XLOOKUP(C878,customers!$A$1:$A$1001,customers!C877:C1877,,0))</f>
        <v/>
      </c>
      <c r="H878" s="2" t="str">
        <f>_xlfn.XLOOKUP(orders!C878,customers!$A$1:$A$1001,customers!$G$1:$G$1001,,0)</f>
        <v>Ireland</v>
      </c>
      <c r="I878" t="str">
        <f>INDEX(products!$A$1:$G$49,MATCH(orders!$D878, products!$A$1:$A$49,0), MATCH(orders!I$1,products!$A$1:$G$1,0))</f>
        <v>Ara</v>
      </c>
      <c r="J878" t="str">
        <f>INDEX(products!$A$1:$G$49,MATCH(orders!$D878, products!$A$1:$A$49,0), MATCH(orders!J$1,products!$A$1:$G$1,0))</f>
        <v>L</v>
      </c>
      <c r="K878" s="4">
        <f>INDEX(products!$A$1:$G$49,MATCH(orders!$D878, products!$A$1:$A$49,0), MATCH(orders!K$1,products!$A$1:$G$1,0))</f>
        <v>0.5</v>
      </c>
      <c r="L878" s="5">
        <f>INDEX(products!$A$1:$G$49,MATCH(orders!$D878, products!$A$1:$A$49,0), MATCH(orders!L$1,products!$A$1:$G$1,0))</f>
        <v>7.77</v>
      </c>
      <c r="M878" s="5">
        <f t="shared" si="39"/>
        <v>46.62</v>
      </c>
      <c r="N878" t="str">
        <f t="shared" si="40"/>
        <v>Arabica</v>
      </c>
      <c r="O878" t="str">
        <f t="shared" si="41"/>
        <v>Light</v>
      </c>
      <c r="P878" t="str">
        <f>_xlfn.XLOOKUP(Table1[[#This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IF(_xlfn.XLOOKUP(C879,customers!$A$1:$A$1001,customers!C878:C1878,,0)=0,"",_xlfn.XLOOKUP(C879,customers!$A$1:$A$1001,customers!C878:C1878,,0))</f>
        <v/>
      </c>
      <c r="H879" s="2" t="str">
        <f>_xlfn.XLOOKUP(orders!C879,customers!$A$1:$A$1001,customers!$G$1:$G$1001,,0)</f>
        <v>United States</v>
      </c>
      <c r="I879" t="str">
        <f>INDEX(products!$A$1:$G$49,MATCH(orders!$D879, products!$A$1:$A$49,0), MATCH(orders!I$1,products!$A$1:$G$1,0))</f>
        <v>Lib</v>
      </c>
      <c r="J879" t="str">
        <f>INDEX(products!$A$1:$G$49,MATCH(orders!$D879, products!$A$1:$A$49,0), MATCH(orders!J$1,products!$A$1:$G$1,0))</f>
        <v>L</v>
      </c>
      <c r="K879" s="4">
        <f>INDEX(products!$A$1:$G$49,MATCH(orders!$D879, products!$A$1:$A$49,0), MATCH(orders!K$1,products!$A$1:$G$1,0))</f>
        <v>0.5</v>
      </c>
      <c r="L879" s="5">
        <f>INDEX(products!$A$1:$G$49,MATCH(orders!$D879, products!$A$1:$A$49,0), MATCH(orders!L$1,products!$A$1:$G$1,0))</f>
        <v>9.51</v>
      </c>
      <c r="M879" s="5">
        <f t="shared" si="39"/>
        <v>28.53</v>
      </c>
      <c r="N879" t="str">
        <f t="shared" si="40"/>
        <v>Liberica</v>
      </c>
      <c r="O879" t="str">
        <f t="shared" si="41"/>
        <v>Light</v>
      </c>
      <c r="P879" t="str">
        <f>_xlfn.XLOOKUP(Table1[[#This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IF(_xlfn.XLOOKUP(C880,customers!$A$1:$A$1001,customers!C879:C1879,,0)=0,"",_xlfn.XLOOKUP(C880,customers!$A$1:$A$1001,customers!C879:C1879,,0))</f>
        <v/>
      </c>
      <c r="H880" s="2" t="str">
        <f>_xlfn.XLOOKUP(orders!C880,customers!$A$1:$A$1001,customers!$G$1:$G$1001,,0)</f>
        <v>United States</v>
      </c>
      <c r="I880" t="str">
        <f>INDEX(products!$A$1:$G$49,MATCH(orders!$D880, products!$A$1:$A$49,0), MATCH(orders!I$1,products!$A$1:$G$1,0))</f>
        <v>Rob</v>
      </c>
      <c r="J880" t="str">
        <f>INDEX(products!$A$1:$G$49,MATCH(orders!$D880, products!$A$1:$A$49,0), MATCH(orders!J$1,products!$A$1:$G$1,0))</f>
        <v>L</v>
      </c>
      <c r="K880" s="4">
        <f>INDEX(products!$A$1:$G$49,MATCH(orders!$D880, products!$A$1:$A$49,0), MATCH(orders!K$1,products!$A$1:$G$1,0))</f>
        <v>2.5</v>
      </c>
      <c r="L880" s="5">
        <f>INDEX(products!$A$1:$G$49,MATCH(orders!$D880, products!$A$1:$A$49,0), MATCH(orders!L$1,products!$A$1:$G$1,0))</f>
        <v>27.484999999999996</v>
      </c>
      <c r="M880" s="5">
        <f t="shared" si="39"/>
        <v>27.484999999999996</v>
      </c>
      <c r="N880" t="str">
        <f t="shared" si="40"/>
        <v>Robusta</v>
      </c>
      <c r="O880" t="str">
        <f t="shared" si="41"/>
        <v>Light</v>
      </c>
      <c r="P880" t="str">
        <f>_xlfn.XLOOKUP(Table1[[#This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IF(_xlfn.XLOOKUP(C881,customers!$A$1:$A$1001,customers!C880:C1880,,0)=0,"",_xlfn.XLOOKUP(C881,customers!$A$1:$A$1001,customers!C880:C1880,,0))</f>
        <v/>
      </c>
      <c r="H881" s="2" t="str">
        <f>_xlfn.XLOOKUP(orders!C881,customers!$A$1:$A$1001,customers!$G$1:$G$1001,,0)</f>
        <v>United States</v>
      </c>
      <c r="I881" t="str">
        <f>INDEX(products!$A$1:$G$49,MATCH(orders!$D881, products!$A$1:$A$49,0), MATCH(orders!I$1,products!$A$1:$G$1,0))</f>
        <v>Exc</v>
      </c>
      <c r="J881" t="str">
        <f>INDEX(products!$A$1:$G$49,MATCH(orders!$D881, products!$A$1:$A$49,0), MATCH(orders!J$1,products!$A$1:$G$1,0))</f>
        <v>D</v>
      </c>
      <c r="K881" s="4">
        <f>INDEX(products!$A$1:$G$49,MATCH(orders!$D881, products!$A$1:$A$49,0), MATCH(orders!K$1,products!$A$1:$G$1,0))</f>
        <v>0.2</v>
      </c>
      <c r="L881" s="5">
        <f>INDEX(products!$A$1:$G$49,MATCH(orders!$D881, products!$A$1:$A$49,0), MATCH(orders!L$1,products!$A$1:$G$1,0))</f>
        <v>3.645</v>
      </c>
      <c r="M881" s="5">
        <f t="shared" si="39"/>
        <v>10.935</v>
      </c>
      <c r="N881" t="str">
        <f t="shared" si="40"/>
        <v>Excelsa</v>
      </c>
      <c r="O881" t="str">
        <f t="shared" si="41"/>
        <v>Dark</v>
      </c>
      <c r="P881" t="str">
        <f>_xlfn.XLOOKUP(Table1[[#This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IF(_xlfn.XLOOKUP(C882,customers!$A$1:$A$1001,customers!C881:C1881,,0)=0,"",_xlfn.XLOOKUP(C882,customers!$A$1:$A$1001,customers!C881:C1881,,0))</f>
        <v/>
      </c>
      <c r="H882" s="2" t="str">
        <f>_xlfn.XLOOKUP(orders!C882,customers!$A$1:$A$1001,customers!$G$1:$G$1001,,0)</f>
        <v>United States</v>
      </c>
      <c r="I882" t="str">
        <f>INDEX(products!$A$1:$G$49,MATCH(orders!$D882, products!$A$1:$A$49,0), MATCH(orders!I$1,products!$A$1:$G$1,0))</f>
        <v>Rob</v>
      </c>
      <c r="J882" t="str">
        <f>INDEX(products!$A$1:$G$49,MATCH(orders!$D882, products!$A$1:$A$49,0), MATCH(orders!J$1,products!$A$1:$G$1,0))</f>
        <v>L</v>
      </c>
      <c r="K882" s="4">
        <f>INDEX(products!$A$1:$G$49,MATCH(orders!$D882, products!$A$1:$A$49,0), MATCH(orders!K$1,products!$A$1:$G$1,0))</f>
        <v>0.2</v>
      </c>
      <c r="L882" s="5">
        <f>INDEX(products!$A$1:$G$49,MATCH(orders!$D882, products!$A$1:$A$49,0), MATCH(orders!L$1,products!$A$1:$G$1,0))</f>
        <v>3.5849999999999995</v>
      </c>
      <c r="M882" s="5">
        <f t="shared" si="39"/>
        <v>7.169999999999999</v>
      </c>
      <c r="N882" t="str">
        <f t="shared" si="40"/>
        <v>Robusta</v>
      </c>
      <c r="O882" t="str">
        <f t="shared" si="41"/>
        <v>Light</v>
      </c>
      <c r="P882" t="str">
        <f>_xlfn.XLOOKUP(Table1[[#This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IF(_xlfn.XLOOKUP(C883,customers!$A$1:$A$1001,customers!C882:C1882,,0)=0,"",_xlfn.XLOOKUP(C883,customers!$A$1:$A$1001,customers!C882:C1882,,0))</f>
        <v/>
      </c>
      <c r="H883" s="2" t="str">
        <f>_xlfn.XLOOKUP(orders!C883,customers!$A$1:$A$1001,customers!$G$1:$G$1001,,0)</f>
        <v>United States</v>
      </c>
      <c r="I883" t="str">
        <f>INDEX(products!$A$1:$G$49,MATCH(orders!$D883, products!$A$1:$A$49,0), MATCH(orders!I$1,products!$A$1:$G$1,0))</f>
        <v>Ara</v>
      </c>
      <c r="J883" t="str">
        <f>INDEX(products!$A$1:$G$49,MATCH(orders!$D883, products!$A$1:$A$49,0), MATCH(orders!J$1,products!$A$1:$G$1,0))</f>
        <v>L</v>
      </c>
      <c r="K883" s="4">
        <f>INDEX(products!$A$1:$G$49,MATCH(orders!$D883, products!$A$1:$A$49,0), MATCH(orders!K$1,products!$A$1:$G$1,0))</f>
        <v>0.2</v>
      </c>
      <c r="L883" s="5">
        <f>INDEX(products!$A$1:$G$49,MATCH(orders!$D883, products!$A$1:$A$49,0), MATCH(orders!L$1,products!$A$1:$G$1,0))</f>
        <v>3.8849999999999998</v>
      </c>
      <c r="M883" s="5">
        <f t="shared" si="39"/>
        <v>23.31</v>
      </c>
      <c r="N883" t="str">
        <f t="shared" si="40"/>
        <v>Arabica</v>
      </c>
      <c r="O883" t="str">
        <f t="shared" si="41"/>
        <v>Light</v>
      </c>
      <c r="P883" t="str">
        <f>_xlfn.XLOOKUP(Table1[[#This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IF(_xlfn.XLOOKUP(C884,customers!$A$1:$A$1001,customers!C883:C1883,,0)=0,"",_xlfn.XLOOKUP(C884,customers!$A$1:$A$1001,customers!C883:C1883,,0))</f>
        <v/>
      </c>
      <c r="H884" s="2" t="str">
        <f>_xlfn.XLOOKUP(orders!C884,customers!$A$1:$A$1001,customers!$G$1:$G$1001,,0)</f>
        <v>United States</v>
      </c>
      <c r="I884" t="str">
        <f>INDEX(products!$A$1:$G$49,MATCH(orders!$D884, products!$A$1:$A$49,0), MATCH(orders!I$1,products!$A$1:$G$1,0))</f>
        <v>Ara</v>
      </c>
      <c r="J884" t="str">
        <f>INDEX(products!$A$1:$G$49,MATCH(orders!$D884, products!$A$1:$A$49,0), MATCH(orders!J$1,products!$A$1:$G$1,0))</f>
        <v>D</v>
      </c>
      <c r="K884" s="4">
        <f>INDEX(products!$A$1:$G$49,MATCH(orders!$D884, products!$A$1:$A$49,0), MATCH(orders!K$1,products!$A$1:$G$1,0))</f>
        <v>2.5</v>
      </c>
      <c r="L884" s="5">
        <f>INDEX(products!$A$1:$G$49,MATCH(orders!$D884, products!$A$1:$A$49,0), MATCH(orders!L$1,products!$A$1:$G$1,0))</f>
        <v>22.884999999999998</v>
      </c>
      <c r="M884" s="5">
        <f t="shared" si="39"/>
        <v>114.42499999999998</v>
      </c>
      <c r="N884" t="str">
        <f t="shared" si="40"/>
        <v>Arabica</v>
      </c>
      <c r="O884" t="str">
        <f t="shared" si="41"/>
        <v>Dark</v>
      </c>
      <c r="P884" t="str">
        <f>_xlfn.XLOOKUP(Table1[[#This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IF(_xlfn.XLOOKUP(C885,customers!$A$1:$A$1001,customers!C884:C1884,,0)=0,"",_xlfn.XLOOKUP(C885,customers!$A$1:$A$1001,customers!C884:C1884,,0))</f>
        <v/>
      </c>
      <c r="H885" s="2" t="str">
        <f>_xlfn.XLOOKUP(orders!C885,customers!$A$1:$A$1001,customers!$G$1:$G$1001,,0)</f>
        <v>United States</v>
      </c>
      <c r="I885" t="str">
        <f>INDEX(products!$A$1:$G$49,MATCH(orders!$D885, products!$A$1:$A$49,0), MATCH(orders!I$1,products!$A$1:$G$1,0))</f>
        <v>Ara</v>
      </c>
      <c r="J885" t="str">
        <f>INDEX(products!$A$1:$G$49,MATCH(orders!$D885, products!$A$1:$A$49,0), MATCH(orders!J$1,products!$A$1:$G$1,0))</f>
        <v>M</v>
      </c>
      <c r="K885" s="4">
        <f>INDEX(products!$A$1:$G$49,MATCH(orders!$D885, products!$A$1:$A$49,0), MATCH(orders!K$1,products!$A$1:$G$1,0))</f>
        <v>2.5</v>
      </c>
      <c r="L885" s="5">
        <f>INDEX(products!$A$1:$G$49,MATCH(orders!$D885, products!$A$1:$A$49,0), MATCH(orders!L$1,products!$A$1:$G$1,0))</f>
        <v>25.874999999999996</v>
      </c>
      <c r="M885" s="5">
        <f t="shared" si="39"/>
        <v>77.624999999999986</v>
      </c>
      <c r="N885" t="str">
        <f t="shared" si="40"/>
        <v>Arabica</v>
      </c>
      <c r="O885" t="str">
        <f t="shared" si="41"/>
        <v>Medium</v>
      </c>
      <c r="P885" t="str">
        <f>_xlfn.XLOOKUP(Table1[[#This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IF(_xlfn.XLOOKUP(C886,customers!$A$1:$A$1001,customers!C885:C1885,,0)=0,"",_xlfn.XLOOKUP(C886,customers!$A$1:$A$1001,customers!C885:C1885,,0))</f>
        <v/>
      </c>
      <c r="H886" s="2" t="str">
        <f>_xlfn.XLOOKUP(orders!C886,customers!$A$1:$A$1001,customers!$G$1:$G$1001,,0)</f>
        <v>United States</v>
      </c>
      <c r="I886" t="str">
        <f>INDEX(products!$A$1:$G$49,MATCH(orders!$D886, products!$A$1:$A$49,0), MATCH(orders!I$1,products!$A$1:$G$1,0))</f>
        <v>Rob</v>
      </c>
      <c r="J886" t="str">
        <f>INDEX(products!$A$1:$G$49,MATCH(orders!$D886, products!$A$1:$A$49,0), MATCH(orders!J$1,products!$A$1:$G$1,0))</f>
        <v>D</v>
      </c>
      <c r="K886" s="4">
        <f>INDEX(products!$A$1:$G$49,MATCH(orders!$D886, products!$A$1:$A$49,0), MATCH(orders!K$1,products!$A$1:$G$1,0))</f>
        <v>0.5</v>
      </c>
      <c r="L886" s="5">
        <f>INDEX(products!$A$1:$G$49,MATCH(orders!$D886, products!$A$1:$A$49,0), MATCH(orders!L$1,products!$A$1:$G$1,0))</f>
        <v>5.3699999999999992</v>
      </c>
      <c r="M886" s="5">
        <f t="shared" si="39"/>
        <v>5.3699999999999992</v>
      </c>
      <c r="N886" t="str">
        <f t="shared" si="40"/>
        <v>Robusta</v>
      </c>
      <c r="O886" t="str">
        <f t="shared" si="41"/>
        <v>Dark</v>
      </c>
      <c r="P886" t="str">
        <f>_xlfn.XLOOKUP(Table1[[#This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IF(_xlfn.XLOOKUP(C887,customers!$A$1:$A$1001,customers!C886:C1886,,0)=0,"",_xlfn.XLOOKUP(C887,customers!$A$1:$A$1001,customers!C886:C1886,,0))</f>
        <v/>
      </c>
      <c r="H887" s="2" t="str">
        <f>_xlfn.XLOOKUP(orders!C887,customers!$A$1:$A$1001,customers!$G$1:$G$1001,,0)</f>
        <v>Ireland</v>
      </c>
      <c r="I887" t="str">
        <f>INDEX(products!$A$1:$G$49,MATCH(orders!$D887, products!$A$1:$A$49,0), MATCH(orders!I$1,products!$A$1:$G$1,0))</f>
        <v>Rob</v>
      </c>
      <c r="J887" t="str">
        <f>INDEX(products!$A$1:$G$49,MATCH(orders!$D887, products!$A$1:$A$49,0), MATCH(orders!J$1,products!$A$1:$G$1,0))</f>
        <v>D</v>
      </c>
      <c r="K887" s="4">
        <f>INDEX(products!$A$1:$G$49,MATCH(orders!$D887, products!$A$1:$A$49,0), MATCH(orders!K$1,products!$A$1:$G$1,0))</f>
        <v>2.5</v>
      </c>
      <c r="L887" s="5">
        <f>INDEX(products!$A$1:$G$49,MATCH(orders!$D887, products!$A$1:$A$49,0), MATCH(orders!L$1,products!$A$1:$G$1,0))</f>
        <v>20.584999999999997</v>
      </c>
      <c r="M887" s="5">
        <f t="shared" si="39"/>
        <v>123.50999999999999</v>
      </c>
      <c r="N887" t="str">
        <f t="shared" si="40"/>
        <v>Robusta</v>
      </c>
      <c r="O887" t="str">
        <f t="shared" si="41"/>
        <v>Dark</v>
      </c>
      <c r="P887" t="str">
        <f>_xlfn.XLOOKUP(Table1[[#This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IF(_xlfn.XLOOKUP(C888,customers!$A$1:$A$1001,customers!C887:C1887,,0)=0,"",_xlfn.XLOOKUP(C888,customers!$A$1:$A$1001,customers!C887:C1887,,0))</f>
        <v/>
      </c>
      <c r="H888" s="2" t="str">
        <f>_xlfn.XLOOKUP(orders!C888,customers!$A$1:$A$1001,customers!$G$1:$G$1001,,0)</f>
        <v>United States</v>
      </c>
      <c r="I888" t="str">
        <f>INDEX(products!$A$1:$G$49,MATCH(orders!$D888, products!$A$1:$A$49,0), MATCH(orders!I$1,products!$A$1:$G$1,0))</f>
        <v>Lib</v>
      </c>
      <c r="J888" t="str">
        <f>INDEX(products!$A$1:$G$49,MATCH(orders!$D888, products!$A$1:$A$49,0), MATCH(orders!J$1,products!$A$1:$G$1,0))</f>
        <v>M</v>
      </c>
      <c r="K888" s="4">
        <f>INDEX(products!$A$1:$G$49,MATCH(orders!$D888, products!$A$1:$A$49,0), MATCH(orders!K$1,products!$A$1:$G$1,0))</f>
        <v>0.5</v>
      </c>
      <c r="L888" s="5">
        <f>INDEX(products!$A$1:$G$49,MATCH(orders!$D888, products!$A$1:$A$49,0), MATCH(orders!L$1,products!$A$1:$G$1,0))</f>
        <v>8.73</v>
      </c>
      <c r="M888" s="5">
        <f t="shared" si="39"/>
        <v>17.46</v>
      </c>
      <c r="N888" t="str">
        <f t="shared" si="40"/>
        <v>Liberica</v>
      </c>
      <c r="O888" t="str">
        <f t="shared" si="41"/>
        <v>Medium</v>
      </c>
      <c r="P888" t="str">
        <f>_xlfn.XLOOKUP(Table1[[#This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IF(_xlfn.XLOOKUP(C889,customers!$A$1:$A$1001,customers!C888:C1888,,0)=0,"",_xlfn.XLOOKUP(C889,customers!$A$1:$A$1001,customers!C888:C1888,,0))</f>
        <v/>
      </c>
      <c r="H889" s="2" t="str">
        <f>_xlfn.XLOOKUP(orders!C889,customers!$A$1:$A$1001,customers!$G$1:$G$1001,,0)</f>
        <v>United States</v>
      </c>
      <c r="I889" t="str">
        <f>INDEX(products!$A$1:$G$49,MATCH(orders!$D889, products!$A$1:$A$49,0), MATCH(orders!I$1,products!$A$1:$G$1,0))</f>
        <v>Exc</v>
      </c>
      <c r="J889" t="str">
        <f>INDEX(products!$A$1:$G$49,MATCH(orders!$D889, products!$A$1:$A$49,0), MATCH(orders!J$1,products!$A$1:$G$1,0))</f>
        <v>L</v>
      </c>
      <c r="K889" s="4">
        <f>INDEX(products!$A$1:$G$49,MATCH(orders!$D889, products!$A$1:$A$49,0), MATCH(orders!K$1,products!$A$1:$G$1,0))</f>
        <v>0.2</v>
      </c>
      <c r="L889" s="5">
        <f>INDEX(products!$A$1:$G$49,MATCH(orders!$D889, products!$A$1:$A$49,0), MATCH(orders!L$1,products!$A$1:$G$1,0))</f>
        <v>4.4550000000000001</v>
      </c>
      <c r="M889" s="5">
        <f t="shared" si="39"/>
        <v>13.365</v>
      </c>
      <c r="N889" t="str">
        <f t="shared" si="40"/>
        <v>Excelsa</v>
      </c>
      <c r="O889" t="str">
        <f t="shared" si="41"/>
        <v>Light</v>
      </c>
      <c r="P889" t="str">
        <f>_xlfn.XLOOKUP(Table1[[#This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IF(_xlfn.XLOOKUP(C890,customers!$A$1:$A$1001,customers!C889:C1889,,0)=0,"",_xlfn.XLOOKUP(C890,customers!$A$1:$A$1001,customers!C889:C1889,,0))</f>
        <v/>
      </c>
      <c r="H890" s="2" t="str">
        <f>_xlfn.XLOOKUP(orders!C890,customers!$A$1:$A$1001,customers!$G$1:$G$1001,,0)</f>
        <v>United States</v>
      </c>
      <c r="I890" t="str">
        <f>INDEX(products!$A$1:$G$49,MATCH(orders!$D890, products!$A$1:$A$49,0), MATCH(orders!I$1,products!$A$1:$G$1,0))</f>
        <v>Ara</v>
      </c>
      <c r="J890" t="str">
        <f>INDEX(products!$A$1:$G$49,MATCH(orders!$D890, products!$A$1:$A$49,0), MATCH(orders!J$1,products!$A$1:$G$1,0))</f>
        <v>L</v>
      </c>
      <c r="K890" s="4">
        <f>INDEX(products!$A$1:$G$49,MATCH(orders!$D890, products!$A$1:$A$49,0), MATCH(orders!K$1,products!$A$1:$G$1,0))</f>
        <v>0.2</v>
      </c>
      <c r="L890" s="5">
        <f>INDEX(products!$A$1:$G$49,MATCH(orders!$D890, products!$A$1:$A$49,0), MATCH(orders!L$1,products!$A$1:$G$1,0))</f>
        <v>3.8849999999999998</v>
      </c>
      <c r="M890" s="5">
        <f t="shared" si="39"/>
        <v>7.77</v>
      </c>
      <c r="N890" t="str">
        <f t="shared" si="40"/>
        <v>Arabica</v>
      </c>
      <c r="O890" t="str">
        <f t="shared" si="41"/>
        <v>Light</v>
      </c>
      <c r="P890" t="str">
        <f>_xlfn.XLOOKUP(Table1[[#This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IF(_xlfn.XLOOKUP(C891,customers!$A$1:$A$1001,customers!C890:C1890,,0)=0,"",_xlfn.XLOOKUP(C891,customers!$A$1:$A$1001,customers!C890:C1890,,0))</f>
        <v/>
      </c>
      <c r="H891" s="2" t="str">
        <f>_xlfn.XLOOKUP(orders!C891,customers!$A$1:$A$1001,customers!$G$1:$G$1001,,0)</f>
        <v>United States</v>
      </c>
      <c r="I891" t="str">
        <f>INDEX(products!$A$1:$G$49,MATCH(orders!$D891, products!$A$1:$A$49,0), MATCH(orders!I$1,products!$A$1:$G$1,0))</f>
        <v>Rob</v>
      </c>
      <c r="J891" t="str">
        <f>INDEX(products!$A$1:$G$49,MATCH(orders!$D891, products!$A$1:$A$49,0), MATCH(orders!J$1,products!$A$1:$G$1,0))</f>
        <v>D</v>
      </c>
      <c r="K891" s="4">
        <f>INDEX(products!$A$1:$G$49,MATCH(orders!$D891, products!$A$1:$A$49,0), MATCH(orders!K$1,products!$A$1:$G$1,0))</f>
        <v>0.2</v>
      </c>
      <c r="L891" s="5">
        <f>INDEX(products!$A$1:$G$49,MATCH(orders!$D891, products!$A$1:$A$49,0), MATCH(orders!L$1,products!$A$1:$G$1,0))</f>
        <v>2.6849999999999996</v>
      </c>
      <c r="M891" s="5">
        <f t="shared" si="39"/>
        <v>2.6849999999999996</v>
      </c>
      <c r="N891" t="str">
        <f t="shared" si="40"/>
        <v>Robusta</v>
      </c>
      <c r="O891" t="str">
        <f t="shared" si="41"/>
        <v>Dark</v>
      </c>
      <c r="P891" t="str">
        <f>_xlfn.XLOOKUP(Table1[[#This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IF(_xlfn.XLOOKUP(C892,customers!$A$1:$A$1001,customers!C891:C1891,,0)=0,"",_xlfn.XLOOKUP(C892,customers!$A$1:$A$1001,customers!C891:C1891,,0))</f>
        <v/>
      </c>
      <c r="H892" s="2" t="str">
        <f>_xlfn.XLOOKUP(orders!C892,customers!$A$1:$A$1001,customers!$G$1:$G$1001,,0)</f>
        <v>United States</v>
      </c>
      <c r="I892" t="str">
        <f>INDEX(products!$A$1:$G$49,MATCH(orders!$D892, products!$A$1:$A$49,0), MATCH(orders!I$1,products!$A$1:$G$1,0))</f>
        <v>Rob</v>
      </c>
      <c r="J892" t="str">
        <f>INDEX(products!$A$1:$G$49,MATCH(orders!$D892, products!$A$1:$A$49,0), MATCH(orders!J$1,products!$A$1:$G$1,0))</f>
        <v>D</v>
      </c>
      <c r="K892" s="4">
        <f>INDEX(products!$A$1:$G$49,MATCH(orders!$D892, products!$A$1:$A$49,0), MATCH(orders!K$1,products!$A$1:$G$1,0))</f>
        <v>2.5</v>
      </c>
      <c r="L892" s="5">
        <f>INDEX(products!$A$1:$G$49,MATCH(orders!$D892, products!$A$1:$A$49,0), MATCH(orders!L$1,products!$A$1:$G$1,0))</f>
        <v>20.584999999999997</v>
      </c>
      <c r="M892" s="5">
        <f t="shared" si="39"/>
        <v>20.584999999999997</v>
      </c>
      <c r="N892" t="str">
        <f t="shared" si="40"/>
        <v>Robusta</v>
      </c>
      <c r="O892" t="str">
        <f t="shared" si="41"/>
        <v>Dark</v>
      </c>
      <c r="P892" t="str">
        <f>_xlfn.XLOOKUP(Table1[[#This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IF(_xlfn.XLOOKUP(C893,customers!$A$1:$A$1001,customers!C892:C1892,,0)=0,"",_xlfn.XLOOKUP(C893,customers!$A$1:$A$1001,customers!C892:C1892,,0))</f>
        <v/>
      </c>
      <c r="H893" s="2" t="str">
        <f>_xlfn.XLOOKUP(orders!C893,customers!$A$1:$A$1001,customers!$G$1:$G$1001,,0)</f>
        <v>United States</v>
      </c>
      <c r="I893" t="str">
        <f>INDEX(products!$A$1:$G$49,MATCH(orders!$D893, products!$A$1:$A$49,0), MATCH(orders!I$1,products!$A$1:$G$1,0))</f>
        <v>Ara</v>
      </c>
      <c r="J893" t="str">
        <f>INDEX(products!$A$1:$G$49,MATCH(orders!$D893, products!$A$1:$A$49,0), MATCH(orders!J$1,products!$A$1:$G$1,0))</f>
        <v>D</v>
      </c>
      <c r="K893" s="4">
        <f>INDEX(products!$A$1:$G$49,MATCH(orders!$D893, products!$A$1:$A$49,0), MATCH(orders!K$1,products!$A$1:$G$1,0))</f>
        <v>2.5</v>
      </c>
      <c r="L893" s="5">
        <f>INDEX(products!$A$1:$G$49,MATCH(orders!$D893, products!$A$1:$A$49,0), MATCH(orders!L$1,products!$A$1:$G$1,0))</f>
        <v>22.884999999999998</v>
      </c>
      <c r="M893" s="5">
        <f t="shared" si="39"/>
        <v>114.42499999999998</v>
      </c>
      <c r="N893" t="str">
        <f t="shared" si="40"/>
        <v>Arabica</v>
      </c>
      <c r="O893" t="str">
        <f t="shared" si="41"/>
        <v>Dark</v>
      </c>
      <c r="P893" t="str">
        <f>_xlfn.XLOOKUP(Table1[[#This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IF(_xlfn.XLOOKUP(C894,customers!$A$1:$A$1001,customers!C893:C1893,,0)=0,"",_xlfn.XLOOKUP(C894,customers!$A$1:$A$1001,customers!C893:C1893,,0))</f>
        <v/>
      </c>
      <c r="H894" s="2" t="str">
        <f>_xlfn.XLOOKUP(orders!C894,customers!$A$1:$A$1001,customers!$G$1:$G$1001,,0)</f>
        <v>United Kingdom</v>
      </c>
      <c r="I894" t="str">
        <f>INDEX(products!$A$1:$G$49,MATCH(orders!$D894, products!$A$1:$A$49,0), MATCH(orders!I$1,products!$A$1:$G$1,0))</f>
        <v>Exc</v>
      </c>
      <c r="J894" t="str">
        <f>INDEX(products!$A$1:$G$49,MATCH(orders!$D894, products!$A$1:$A$49,0), MATCH(orders!J$1,products!$A$1:$G$1,0))</f>
        <v>M</v>
      </c>
      <c r="K894" s="4">
        <f>INDEX(products!$A$1:$G$49,MATCH(orders!$D894, products!$A$1:$A$49,0), MATCH(orders!K$1,products!$A$1:$G$1,0))</f>
        <v>0.2</v>
      </c>
      <c r="L894" s="5">
        <f>INDEX(products!$A$1:$G$49,MATCH(orders!$D894, products!$A$1:$A$49,0), MATCH(orders!L$1,products!$A$1:$G$1,0))</f>
        <v>4.125</v>
      </c>
      <c r="M894" s="5">
        <f t="shared" si="39"/>
        <v>20.625</v>
      </c>
      <c r="N894" t="str">
        <f t="shared" si="40"/>
        <v>Excelsa</v>
      </c>
      <c r="O894" t="str">
        <f t="shared" si="41"/>
        <v>Medium</v>
      </c>
      <c r="P894" t="str">
        <f>_xlfn.XLOOKUP(Table1[[#This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IF(_xlfn.XLOOKUP(C895,customers!$A$1:$A$1001,customers!C894:C1894,,0)=0,"",_xlfn.XLOOKUP(C895,customers!$A$1:$A$1001,customers!C894:C1894,,0))</f>
        <v/>
      </c>
      <c r="H895" s="2" t="str">
        <f>_xlfn.XLOOKUP(orders!C895,customers!$A$1:$A$1001,customers!$G$1:$G$1001,,0)</f>
        <v>United States</v>
      </c>
      <c r="I895" t="str">
        <f>INDEX(products!$A$1:$G$49,MATCH(orders!$D895, products!$A$1:$A$49,0), MATCH(orders!I$1,products!$A$1:$G$1,0))</f>
        <v>Lib</v>
      </c>
      <c r="J895" t="str">
        <f>INDEX(products!$A$1:$G$49,MATCH(orders!$D895, products!$A$1:$A$49,0), MATCH(orders!J$1,products!$A$1:$G$1,0))</f>
        <v>L</v>
      </c>
      <c r="K895" s="4">
        <f>INDEX(products!$A$1:$G$49,MATCH(orders!$D895, products!$A$1:$A$49,0), MATCH(orders!K$1,products!$A$1:$G$1,0))</f>
        <v>0.5</v>
      </c>
      <c r="L895" s="5">
        <f>INDEX(products!$A$1:$G$49,MATCH(orders!$D895, products!$A$1:$A$49,0), MATCH(orders!L$1,products!$A$1:$G$1,0))</f>
        <v>9.51</v>
      </c>
      <c r="M895" s="5">
        <f t="shared" si="39"/>
        <v>57.06</v>
      </c>
      <c r="N895" t="str">
        <f t="shared" si="40"/>
        <v>Liberica</v>
      </c>
      <c r="O895" t="str">
        <f t="shared" si="41"/>
        <v>Light</v>
      </c>
      <c r="P895" t="str">
        <f>_xlfn.XLOOKUP(Table1[[#This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IF(_xlfn.XLOOKUP(C896,customers!$A$1:$A$1001,customers!C895:C1895,,0)=0,"",_xlfn.XLOOKUP(C896,customers!$A$1:$A$1001,customers!C895:C1895,,0))</f>
        <v/>
      </c>
      <c r="H896" s="2" t="str">
        <f>_xlfn.XLOOKUP(orders!C896,customers!$A$1:$A$1001,customers!$G$1:$G$1001,,0)</f>
        <v>Ireland</v>
      </c>
      <c r="I896" t="str">
        <f>INDEX(products!$A$1:$G$49,MATCH(orders!$D896, products!$A$1:$A$49,0), MATCH(orders!I$1,products!$A$1:$G$1,0))</f>
        <v>Rob</v>
      </c>
      <c r="J896" t="str">
        <f>INDEX(products!$A$1:$G$49,MATCH(orders!$D896, products!$A$1:$A$49,0), MATCH(orders!J$1,products!$A$1:$G$1,0))</f>
        <v>D</v>
      </c>
      <c r="K896" s="4">
        <f>INDEX(products!$A$1:$G$49,MATCH(orders!$D896, products!$A$1:$A$49,0), MATCH(orders!K$1,products!$A$1:$G$1,0))</f>
        <v>2.5</v>
      </c>
      <c r="L896" s="5">
        <f>INDEX(products!$A$1:$G$49,MATCH(orders!$D896, products!$A$1:$A$49,0), MATCH(orders!L$1,products!$A$1:$G$1,0))</f>
        <v>20.584999999999997</v>
      </c>
      <c r="M896" s="5">
        <f t="shared" si="39"/>
        <v>82.339999999999989</v>
      </c>
      <c r="N896" t="str">
        <f t="shared" si="40"/>
        <v>Robusta</v>
      </c>
      <c r="O896" t="str">
        <f t="shared" si="41"/>
        <v>Dark</v>
      </c>
      <c r="P896" t="str">
        <f>_xlfn.XLOOKUP(Table1[[#This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IF(_xlfn.XLOOKUP(C897,customers!$A$1:$A$1001,customers!C896:C1896,,0)=0,"",_xlfn.XLOOKUP(C897,customers!$A$1:$A$1001,customers!C896:C1896,,0))</f>
        <v/>
      </c>
      <c r="H897" s="2" t="str">
        <f>_xlfn.XLOOKUP(orders!C897,customers!$A$1:$A$1001,customers!$G$1:$G$1001,,0)</f>
        <v>United States</v>
      </c>
      <c r="I897" t="str">
        <f>INDEX(products!$A$1:$G$49,MATCH(orders!$D897, products!$A$1:$A$49,0), MATCH(orders!I$1,products!$A$1:$G$1,0))</f>
        <v>Exc</v>
      </c>
      <c r="J897" t="str">
        <f>INDEX(products!$A$1:$G$49,MATCH(orders!$D897, products!$A$1:$A$49,0), MATCH(orders!J$1,products!$A$1:$G$1,0))</f>
        <v>M</v>
      </c>
      <c r="K897" s="4">
        <f>INDEX(products!$A$1:$G$49,MATCH(orders!$D897, products!$A$1:$A$49,0), MATCH(orders!K$1,products!$A$1:$G$1,0))</f>
        <v>2.5</v>
      </c>
      <c r="L897" s="5">
        <f>INDEX(products!$A$1:$G$49,MATCH(orders!$D897, products!$A$1:$A$49,0), MATCH(orders!L$1,products!$A$1:$G$1,0))</f>
        <v>31.624999999999996</v>
      </c>
      <c r="M897" s="5">
        <f t="shared" si="39"/>
        <v>158.12499999999997</v>
      </c>
      <c r="N897" t="str">
        <f t="shared" si="40"/>
        <v>Excelsa</v>
      </c>
      <c r="O897" t="str">
        <f t="shared" si="41"/>
        <v>Medium</v>
      </c>
      <c r="P897" t="str">
        <f>_xlfn.XLOOKUP(Table1[[#This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IF(_xlfn.XLOOKUP(C898,customers!$A$1:$A$1001,customers!C897:C1897,,0)=0,"",_xlfn.XLOOKUP(C898,customers!$A$1:$A$1001,customers!C897:C1897,,0))</f>
        <v/>
      </c>
      <c r="H898" s="2" t="str">
        <f>_xlfn.XLOOKUP(orders!C898,customers!$A$1:$A$1001,customers!$G$1:$G$1001,,0)</f>
        <v>United States</v>
      </c>
      <c r="I898" t="str">
        <f>INDEX(products!$A$1:$G$49,MATCH(orders!$D898, products!$A$1:$A$49,0), MATCH(orders!I$1,products!$A$1:$G$1,0))</f>
        <v>Rob</v>
      </c>
      <c r="J898" t="str">
        <f>INDEX(products!$A$1:$G$49,MATCH(orders!$D898, products!$A$1:$A$49,0), MATCH(orders!J$1,products!$A$1:$G$1,0))</f>
        <v>D</v>
      </c>
      <c r="K898" s="4">
        <f>INDEX(products!$A$1:$G$49,MATCH(orders!$D898, products!$A$1:$A$49,0), MATCH(orders!K$1,products!$A$1:$G$1,0))</f>
        <v>0.5</v>
      </c>
      <c r="L898" s="5">
        <f>INDEX(products!$A$1:$G$49,MATCH(orders!$D898, products!$A$1:$A$49,0), MATCH(orders!L$1,products!$A$1:$G$1,0))</f>
        <v>5.3699999999999992</v>
      </c>
      <c r="M898" s="5">
        <f t="shared" si="39"/>
        <v>32.22</v>
      </c>
      <c r="N898" t="str">
        <f t="shared" si="40"/>
        <v>Robusta</v>
      </c>
      <c r="O898" t="str">
        <f t="shared" si="41"/>
        <v>Dark</v>
      </c>
      <c r="P898" t="str">
        <f>_xlfn.XLOOKUP(Table1[[#This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IF(_xlfn.XLOOKUP(C899,customers!$A$1:$A$1001,customers!C898:C1898,,0)=0,"",_xlfn.XLOOKUP(C899,customers!$A$1:$A$1001,customers!C898:C1898,,0))</f>
        <v/>
      </c>
      <c r="H899" s="2" t="str">
        <f>_xlfn.XLOOKUP(orders!C899,customers!$A$1:$A$1001,customers!$G$1:$G$1001,,0)</f>
        <v>United Kingdom</v>
      </c>
      <c r="I899" t="str">
        <f>INDEX(products!$A$1:$G$49,MATCH(orders!$D899, products!$A$1:$A$49,0), MATCH(orders!I$1,products!$A$1:$G$1,0))</f>
        <v>Exc</v>
      </c>
      <c r="J899" t="str">
        <f>INDEX(products!$A$1:$G$49,MATCH(orders!$D899, products!$A$1:$A$49,0), MATCH(orders!J$1,products!$A$1:$G$1,0))</f>
        <v>D</v>
      </c>
      <c r="K899" s="4">
        <f>INDEX(products!$A$1:$G$49,MATCH(orders!$D899, products!$A$1:$A$49,0), MATCH(orders!K$1,products!$A$1:$G$1,0))</f>
        <v>1</v>
      </c>
      <c r="L899" s="5">
        <f>INDEX(products!$A$1:$G$49,MATCH(orders!$D899, products!$A$1:$A$49,0), MATCH(orders!L$1,products!$A$1:$G$1,0))</f>
        <v>12.15</v>
      </c>
      <c r="M899" s="5">
        <f t="shared" ref="M899:M962" si="42">L899*E899</f>
        <v>24.3</v>
      </c>
      <c r="N899" t="str">
        <f t="shared" ref="N899:N962" si="43">IF(I899="Rob","Robusta",IF(I899="Exc", "Excelsa", IF(I899="Ara","Arabica", IF(I899="lib","Liberica",""))))</f>
        <v>Excelsa</v>
      </c>
      <c r="O899" t="str">
        <f t="shared" ref="O899:O962" si="44">IF(J899="M","Medium",IF(J899="L","Light",IF(J899="D","Dark", "")))</f>
        <v>Dark</v>
      </c>
      <c r="P899" t="str">
        <f>_xlfn.XLOOKUP(Table1[[#This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IF(_xlfn.XLOOKUP(C900,customers!$A$1:$A$1001,customers!C899:C1899,,0)=0,"",_xlfn.XLOOKUP(C900,customers!$A$1:$A$1001,customers!C899:C1899,,0))</f>
        <v/>
      </c>
      <c r="H900" s="2" t="str">
        <f>_xlfn.XLOOKUP(orders!C900,customers!$A$1:$A$1001,customers!$G$1:$G$1001,,0)</f>
        <v>United States</v>
      </c>
      <c r="I900" t="str">
        <f>INDEX(products!$A$1:$G$49,MATCH(orders!$D900, products!$A$1:$A$49,0), MATCH(orders!I$1,products!$A$1:$G$1,0))</f>
        <v>Rob</v>
      </c>
      <c r="J900" t="str">
        <f>INDEX(products!$A$1:$G$49,MATCH(orders!$D900, products!$A$1:$A$49,0), MATCH(orders!J$1,products!$A$1:$G$1,0))</f>
        <v>L</v>
      </c>
      <c r="K900" s="4">
        <f>INDEX(products!$A$1:$G$49,MATCH(orders!$D900, products!$A$1:$A$49,0), MATCH(orders!K$1,products!$A$1:$G$1,0))</f>
        <v>0.5</v>
      </c>
      <c r="L900" s="5">
        <f>INDEX(products!$A$1:$G$49,MATCH(orders!$D900, products!$A$1:$A$49,0), MATCH(orders!L$1,products!$A$1:$G$1,0))</f>
        <v>7.169999999999999</v>
      </c>
      <c r="M900" s="5">
        <f t="shared" si="42"/>
        <v>35.849999999999994</v>
      </c>
      <c r="N900" t="str">
        <f t="shared" si="43"/>
        <v>Robusta</v>
      </c>
      <c r="O900" t="str">
        <f t="shared" si="44"/>
        <v>Light</v>
      </c>
      <c r="P900" t="str">
        <f>_xlfn.XLOOKUP(Table1[[#This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IF(_xlfn.XLOOKUP(C901,customers!$A$1:$A$1001,customers!C900:C1900,,0)=0,"",_xlfn.XLOOKUP(C901,customers!$A$1:$A$1001,customers!C900:C1900,,0))</f>
        <v/>
      </c>
      <c r="H901" s="2" t="str">
        <f>_xlfn.XLOOKUP(orders!C901,customers!$A$1:$A$1001,customers!$G$1:$G$1001,,0)</f>
        <v>United States</v>
      </c>
      <c r="I901" t="str">
        <f>INDEX(products!$A$1:$G$49,MATCH(orders!$D901, products!$A$1:$A$49,0), MATCH(orders!I$1,products!$A$1:$G$1,0))</f>
        <v>Lib</v>
      </c>
      <c r="J901" t="str">
        <f>INDEX(products!$A$1:$G$49,MATCH(orders!$D901, products!$A$1:$A$49,0), MATCH(orders!J$1,products!$A$1:$G$1,0))</f>
        <v>M</v>
      </c>
      <c r="K901" s="4">
        <f>INDEX(products!$A$1:$G$49,MATCH(orders!$D901, products!$A$1:$A$49,0), MATCH(orders!K$1,products!$A$1:$G$1,0))</f>
        <v>1</v>
      </c>
      <c r="L901" s="5">
        <f>INDEX(products!$A$1:$G$49,MATCH(orders!$D901, products!$A$1:$A$49,0), MATCH(orders!L$1,products!$A$1:$G$1,0))</f>
        <v>14.55</v>
      </c>
      <c r="M901" s="5">
        <f t="shared" si="42"/>
        <v>72.75</v>
      </c>
      <c r="N901" t="str">
        <f t="shared" si="43"/>
        <v>Liberica</v>
      </c>
      <c r="O901" t="str">
        <f t="shared" si="44"/>
        <v>Medium</v>
      </c>
      <c r="P901" t="str">
        <f>_xlfn.XLOOKUP(Table1[[#This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IF(_xlfn.XLOOKUP(C902,customers!$A$1:$A$1001,customers!C901:C1901,,0)=0,"",_xlfn.XLOOKUP(C902,customers!$A$1:$A$1001,customers!C901:C1901,,0))</f>
        <v/>
      </c>
      <c r="H902" s="2" t="str">
        <f>_xlfn.XLOOKUP(orders!C902,customers!$A$1:$A$1001,customers!$G$1:$G$1001,,0)</f>
        <v>Ireland</v>
      </c>
      <c r="I902" t="str">
        <f>INDEX(products!$A$1:$G$49,MATCH(orders!$D902, products!$A$1:$A$49,0), MATCH(orders!I$1,products!$A$1:$G$1,0))</f>
        <v>Lib</v>
      </c>
      <c r="J902" t="str">
        <f>INDEX(products!$A$1:$G$49,MATCH(orders!$D902, products!$A$1:$A$49,0), MATCH(orders!J$1,products!$A$1:$G$1,0))</f>
        <v>L</v>
      </c>
      <c r="K902" s="4">
        <f>INDEX(products!$A$1:$G$49,MATCH(orders!$D902, products!$A$1:$A$49,0), MATCH(orders!K$1,products!$A$1:$G$1,0))</f>
        <v>1</v>
      </c>
      <c r="L902" s="5">
        <f>INDEX(products!$A$1:$G$49,MATCH(orders!$D902, products!$A$1:$A$49,0), MATCH(orders!L$1,products!$A$1:$G$1,0))</f>
        <v>15.85</v>
      </c>
      <c r="M902" s="5">
        <f t="shared" si="42"/>
        <v>47.55</v>
      </c>
      <c r="N902" t="str">
        <f t="shared" si="43"/>
        <v>Liberica</v>
      </c>
      <c r="O902" t="str">
        <f t="shared" si="44"/>
        <v>Light</v>
      </c>
      <c r="P902" t="str">
        <f>_xlfn.XLOOKUP(Table1[[#This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IF(_xlfn.XLOOKUP(C903,customers!$A$1:$A$1001,customers!C902:C1902,,0)=0,"",_xlfn.XLOOKUP(C903,customers!$A$1:$A$1001,customers!C902:C1902,,0))</f>
        <v/>
      </c>
      <c r="H903" s="2" t="str">
        <f>_xlfn.XLOOKUP(orders!C903,customers!$A$1:$A$1001,customers!$G$1:$G$1001,,0)</f>
        <v>United States</v>
      </c>
      <c r="I903" t="str">
        <f>INDEX(products!$A$1:$G$49,MATCH(orders!$D903, products!$A$1:$A$49,0), MATCH(orders!I$1,products!$A$1:$G$1,0))</f>
        <v>Rob</v>
      </c>
      <c r="J903" t="str">
        <f>INDEX(products!$A$1:$G$49,MATCH(orders!$D903, products!$A$1:$A$49,0), MATCH(orders!J$1,products!$A$1:$G$1,0))</f>
        <v>L</v>
      </c>
      <c r="K903" s="4">
        <f>INDEX(products!$A$1:$G$49,MATCH(orders!$D903, products!$A$1:$A$49,0), MATCH(orders!K$1,products!$A$1:$G$1,0))</f>
        <v>0.2</v>
      </c>
      <c r="L903" s="5">
        <f>INDEX(products!$A$1:$G$49,MATCH(orders!$D903, products!$A$1:$A$49,0), MATCH(orders!L$1,products!$A$1:$G$1,0))</f>
        <v>3.5849999999999995</v>
      </c>
      <c r="M903" s="5">
        <f t="shared" si="42"/>
        <v>3.5849999999999995</v>
      </c>
      <c r="N903" t="str">
        <f t="shared" si="43"/>
        <v>Robusta</v>
      </c>
      <c r="O903" t="str">
        <f t="shared" si="44"/>
        <v>Light</v>
      </c>
      <c r="P903" t="str">
        <f>_xlfn.XLOOKUP(Table1[[#This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IF(_xlfn.XLOOKUP(C904,customers!$A$1:$A$1001,customers!C903:C1903,,0)=0,"",_xlfn.XLOOKUP(C904,customers!$A$1:$A$1001,customers!C903:C1903,,0))</f>
        <v/>
      </c>
      <c r="H904" s="2" t="str">
        <f>_xlfn.XLOOKUP(orders!C904,customers!$A$1:$A$1001,customers!$G$1:$G$1001,,0)</f>
        <v>United States</v>
      </c>
      <c r="I904" t="str">
        <f>INDEX(products!$A$1:$G$49,MATCH(orders!$D904, products!$A$1:$A$49,0), MATCH(orders!I$1,products!$A$1:$G$1,0))</f>
        <v>Exc</v>
      </c>
      <c r="J904" t="str">
        <f>INDEX(products!$A$1:$G$49,MATCH(orders!$D904, products!$A$1:$A$49,0), MATCH(orders!J$1,products!$A$1:$G$1,0))</f>
        <v>M</v>
      </c>
      <c r="K904" s="4">
        <f>INDEX(products!$A$1:$G$49,MATCH(orders!$D904, products!$A$1:$A$49,0), MATCH(orders!K$1,products!$A$1:$G$1,0))</f>
        <v>2.5</v>
      </c>
      <c r="L904" s="5">
        <f>INDEX(products!$A$1:$G$49,MATCH(orders!$D904, products!$A$1:$A$49,0), MATCH(orders!L$1,products!$A$1:$G$1,0))</f>
        <v>31.624999999999996</v>
      </c>
      <c r="M904" s="5">
        <f t="shared" si="42"/>
        <v>158.12499999999997</v>
      </c>
      <c r="N904" t="str">
        <f t="shared" si="43"/>
        <v>Excelsa</v>
      </c>
      <c r="O904" t="str">
        <f t="shared" si="44"/>
        <v>Medium</v>
      </c>
      <c r="P904" t="str">
        <f>_xlfn.XLOOKUP(Table1[[#This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IF(_xlfn.XLOOKUP(C905,customers!$A$1:$A$1001,customers!C904:C1904,,0)=0,"",_xlfn.XLOOKUP(C905,customers!$A$1:$A$1001,customers!C904:C1904,,0))</f>
        <v/>
      </c>
      <c r="H905" s="2" t="str">
        <f>_xlfn.XLOOKUP(orders!C905,customers!$A$1:$A$1001,customers!$G$1:$G$1001,,0)</f>
        <v>United States</v>
      </c>
      <c r="I905" t="str">
        <f>INDEX(products!$A$1:$G$49,MATCH(orders!$D905, products!$A$1:$A$49,0), MATCH(orders!I$1,products!$A$1:$G$1,0))</f>
        <v>Lib</v>
      </c>
      <c r="J905" t="str">
        <f>INDEX(products!$A$1:$G$49,MATCH(orders!$D905, products!$A$1:$A$49,0), MATCH(orders!J$1,products!$A$1:$G$1,0))</f>
        <v>M</v>
      </c>
      <c r="K905" s="4">
        <f>INDEX(products!$A$1:$G$49,MATCH(orders!$D905, products!$A$1:$A$49,0), MATCH(orders!K$1,products!$A$1:$G$1,0))</f>
        <v>0.5</v>
      </c>
      <c r="L905" s="5">
        <f>INDEX(products!$A$1:$G$49,MATCH(orders!$D905, products!$A$1:$A$49,0), MATCH(orders!L$1,products!$A$1:$G$1,0))</f>
        <v>8.73</v>
      </c>
      <c r="M905" s="5">
        <f t="shared" si="42"/>
        <v>17.46</v>
      </c>
      <c r="N905" t="str">
        <f t="shared" si="43"/>
        <v>Liberica</v>
      </c>
      <c r="O905" t="str">
        <f t="shared" si="44"/>
        <v>Medium</v>
      </c>
      <c r="P905" t="str">
        <f>_xlfn.XLOOKUP(Table1[[#This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IF(_xlfn.XLOOKUP(C906,customers!$A$1:$A$1001,customers!C905:C1905,,0)=0,"",_xlfn.XLOOKUP(C906,customers!$A$1:$A$1001,customers!C905:C1905,,0))</f>
        <v/>
      </c>
      <c r="H906" s="2" t="str">
        <f>_xlfn.XLOOKUP(orders!C906,customers!$A$1:$A$1001,customers!$G$1:$G$1001,,0)</f>
        <v>United States</v>
      </c>
      <c r="I906" t="str">
        <f>INDEX(products!$A$1:$G$49,MATCH(orders!$D906, products!$A$1:$A$49,0), MATCH(orders!I$1,products!$A$1:$G$1,0))</f>
        <v>Ara</v>
      </c>
      <c r="J906" t="str">
        <f>INDEX(products!$A$1:$G$49,MATCH(orders!$D906, products!$A$1:$A$49,0), MATCH(orders!J$1,products!$A$1:$G$1,0))</f>
        <v>L</v>
      </c>
      <c r="K906" s="4">
        <f>INDEX(products!$A$1:$G$49,MATCH(orders!$D906, products!$A$1:$A$49,0), MATCH(orders!K$1,products!$A$1:$G$1,0))</f>
        <v>2.5</v>
      </c>
      <c r="L906" s="5">
        <f>INDEX(products!$A$1:$G$49,MATCH(orders!$D906, products!$A$1:$A$49,0), MATCH(orders!L$1,products!$A$1:$G$1,0))</f>
        <v>29.784999999999997</v>
      </c>
      <c r="M906" s="5">
        <f t="shared" si="42"/>
        <v>148.92499999999998</v>
      </c>
      <c r="N906" t="str">
        <f t="shared" si="43"/>
        <v>Arabica</v>
      </c>
      <c r="O906" t="str">
        <f t="shared" si="44"/>
        <v>Light</v>
      </c>
      <c r="P906" t="str">
        <f>_xlfn.XLOOKUP(Table1[[#This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IF(_xlfn.XLOOKUP(C907,customers!$A$1:$A$1001,customers!C906:C1906,,0)=0,"",_xlfn.XLOOKUP(C907,customers!$A$1:$A$1001,customers!C906:C1906,,0))</f>
        <v/>
      </c>
      <c r="H907" s="2" t="str">
        <f>_xlfn.XLOOKUP(orders!C907,customers!$A$1:$A$1001,customers!$G$1:$G$1001,,0)</f>
        <v>United States</v>
      </c>
      <c r="I907" t="str">
        <f>INDEX(products!$A$1:$G$49,MATCH(orders!$D907, products!$A$1:$A$49,0), MATCH(orders!I$1,products!$A$1:$G$1,0))</f>
        <v>Ara</v>
      </c>
      <c r="J907" t="str">
        <f>INDEX(products!$A$1:$G$49,MATCH(orders!$D907, products!$A$1:$A$49,0), MATCH(orders!J$1,products!$A$1:$G$1,0))</f>
        <v>M</v>
      </c>
      <c r="K907" s="4">
        <f>INDEX(products!$A$1:$G$49,MATCH(orders!$D907, products!$A$1:$A$49,0), MATCH(orders!K$1,products!$A$1:$G$1,0))</f>
        <v>0.5</v>
      </c>
      <c r="L907" s="5">
        <f>INDEX(products!$A$1:$G$49,MATCH(orders!$D907, products!$A$1:$A$49,0), MATCH(orders!L$1,products!$A$1:$G$1,0))</f>
        <v>6.75</v>
      </c>
      <c r="M907" s="5">
        <f t="shared" si="42"/>
        <v>40.5</v>
      </c>
      <c r="N907" t="str">
        <f t="shared" si="43"/>
        <v>Arabica</v>
      </c>
      <c r="O907" t="str">
        <f t="shared" si="44"/>
        <v>Medium</v>
      </c>
      <c r="P907" t="str">
        <f>_xlfn.XLOOKUP(Table1[[#This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IF(_xlfn.XLOOKUP(C908,customers!$A$1:$A$1001,customers!C907:C1907,,0)=0,"",_xlfn.XLOOKUP(C908,customers!$A$1:$A$1001,customers!C907:C1907,,0))</f>
        <v/>
      </c>
      <c r="H908" s="2" t="str">
        <f>_xlfn.XLOOKUP(orders!C908,customers!$A$1:$A$1001,customers!$G$1:$G$1001,,0)</f>
        <v>United States</v>
      </c>
      <c r="I908" t="str">
        <f>INDEX(products!$A$1:$G$49,MATCH(orders!$D908, products!$A$1:$A$49,0), MATCH(orders!I$1,products!$A$1:$G$1,0))</f>
        <v>Ara</v>
      </c>
      <c r="J908" t="str">
        <f>INDEX(products!$A$1:$G$49,MATCH(orders!$D908, products!$A$1:$A$49,0), MATCH(orders!J$1,products!$A$1:$G$1,0))</f>
        <v>M</v>
      </c>
      <c r="K908" s="4">
        <f>INDEX(products!$A$1:$G$49,MATCH(orders!$D908, products!$A$1:$A$49,0), MATCH(orders!K$1,products!$A$1:$G$1,0))</f>
        <v>0.5</v>
      </c>
      <c r="L908" s="5">
        <f>INDEX(products!$A$1:$G$49,MATCH(orders!$D908, products!$A$1:$A$49,0), MATCH(orders!L$1,products!$A$1:$G$1,0))</f>
        <v>6.75</v>
      </c>
      <c r="M908" s="5">
        <f t="shared" si="42"/>
        <v>27</v>
      </c>
      <c r="N908" t="str">
        <f t="shared" si="43"/>
        <v>Arabica</v>
      </c>
      <c r="O908" t="str">
        <f t="shared" si="44"/>
        <v>Medium</v>
      </c>
      <c r="P908" t="str">
        <f>_xlfn.XLOOKUP(Table1[[#This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IF(_xlfn.XLOOKUP(C909,customers!$A$1:$A$1001,customers!C908:C1908,,0)=0,"",_xlfn.XLOOKUP(C909,customers!$A$1:$A$1001,customers!C908:C1908,,0))</f>
        <v/>
      </c>
      <c r="H909" s="2" t="str">
        <f>_xlfn.XLOOKUP(orders!C909,customers!$A$1:$A$1001,customers!$G$1:$G$1001,,0)</f>
        <v>United States</v>
      </c>
      <c r="I909" t="str">
        <f>INDEX(products!$A$1:$G$49,MATCH(orders!$D909, products!$A$1:$A$49,0), MATCH(orders!I$1,products!$A$1:$G$1,0))</f>
        <v>Lib</v>
      </c>
      <c r="J909" t="str">
        <f>INDEX(products!$A$1:$G$49,MATCH(orders!$D909, products!$A$1:$A$49,0), MATCH(orders!J$1,products!$A$1:$G$1,0))</f>
        <v>D</v>
      </c>
      <c r="K909" s="4">
        <f>INDEX(products!$A$1:$G$49,MATCH(orders!$D909, products!$A$1:$A$49,0), MATCH(orders!K$1,products!$A$1:$G$1,0))</f>
        <v>1</v>
      </c>
      <c r="L909" s="5">
        <f>INDEX(products!$A$1:$G$49,MATCH(orders!$D909, products!$A$1:$A$49,0), MATCH(orders!L$1,products!$A$1:$G$1,0))</f>
        <v>12.95</v>
      </c>
      <c r="M909" s="5">
        <f t="shared" si="42"/>
        <v>38.849999999999994</v>
      </c>
      <c r="N909" t="str">
        <f t="shared" si="43"/>
        <v>Liberica</v>
      </c>
      <c r="O909" t="str">
        <f t="shared" si="44"/>
        <v>Dark</v>
      </c>
      <c r="P909" t="str">
        <f>_xlfn.XLOOKUP(Table1[[#This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IF(_xlfn.XLOOKUP(C910,customers!$A$1:$A$1001,customers!C909:C1909,,0)=0,"",_xlfn.XLOOKUP(C910,customers!$A$1:$A$1001,customers!C909:C1909,,0))</f>
        <v/>
      </c>
      <c r="H910" s="2" t="str">
        <f>_xlfn.XLOOKUP(orders!C910,customers!$A$1:$A$1001,customers!$G$1:$G$1001,,0)</f>
        <v>United States</v>
      </c>
      <c r="I910" t="str">
        <f>INDEX(products!$A$1:$G$49,MATCH(orders!$D910, products!$A$1:$A$49,0), MATCH(orders!I$1,products!$A$1:$G$1,0))</f>
        <v>Rob</v>
      </c>
      <c r="J910" t="str">
        <f>INDEX(products!$A$1:$G$49,MATCH(orders!$D910, products!$A$1:$A$49,0), MATCH(orders!J$1,products!$A$1:$G$1,0))</f>
        <v>L</v>
      </c>
      <c r="K910" s="4">
        <f>INDEX(products!$A$1:$G$49,MATCH(orders!$D910, products!$A$1:$A$49,0), MATCH(orders!K$1,products!$A$1:$G$1,0))</f>
        <v>1</v>
      </c>
      <c r="L910" s="5">
        <f>INDEX(products!$A$1:$G$49,MATCH(orders!$D910, products!$A$1:$A$49,0), MATCH(orders!L$1,products!$A$1:$G$1,0))</f>
        <v>11.95</v>
      </c>
      <c r="M910" s="5">
        <f t="shared" si="42"/>
        <v>59.75</v>
      </c>
      <c r="N910" t="str">
        <f t="shared" si="43"/>
        <v>Robusta</v>
      </c>
      <c r="O910" t="str">
        <f t="shared" si="44"/>
        <v>Light</v>
      </c>
      <c r="P910" t="str">
        <f>_xlfn.XLOOKUP(Table1[[#This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IF(_xlfn.XLOOKUP(C911,customers!$A$1:$A$1001,customers!C910:C1910,,0)=0,"",_xlfn.XLOOKUP(C911,customers!$A$1:$A$1001,customers!C910:C1910,,0))</f>
        <v/>
      </c>
      <c r="H911" s="2" t="str">
        <f>_xlfn.XLOOKUP(orders!C911,customers!$A$1:$A$1001,customers!$G$1:$G$1001,,0)</f>
        <v>United States</v>
      </c>
      <c r="I911" t="str">
        <f>INDEX(products!$A$1:$G$49,MATCH(orders!$D911, products!$A$1:$A$49,0), MATCH(orders!I$1,products!$A$1:$G$1,0))</f>
        <v>Rob</v>
      </c>
      <c r="J911" t="str">
        <f>INDEX(products!$A$1:$G$49,MATCH(orders!$D911, products!$A$1:$A$49,0), MATCH(orders!J$1,products!$A$1:$G$1,0))</f>
        <v>L</v>
      </c>
      <c r="K911" s="4">
        <f>INDEX(products!$A$1:$G$49,MATCH(orders!$D911, products!$A$1:$A$49,0), MATCH(orders!K$1,products!$A$1:$G$1,0))</f>
        <v>0.2</v>
      </c>
      <c r="L911" s="5">
        <f>INDEX(products!$A$1:$G$49,MATCH(orders!$D911, products!$A$1:$A$49,0), MATCH(orders!L$1,products!$A$1:$G$1,0))</f>
        <v>3.5849999999999995</v>
      </c>
      <c r="M911" s="5">
        <f t="shared" si="42"/>
        <v>10.754999999999999</v>
      </c>
      <c r="N911" t="str">
        <f t="shared" si="43"/>
        <v>Robusta</v>
      </c>
      <c r="O911" t="str">
        <f t="shared" si="44"/>
        <v>Light</v>
      </c>
      <c r="P911" t="str">
        <f>_xlfn.XLOOKUP(Table1[[#This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IF(_xlfn.XLOOKUP(C912,customers!$A$1:$A$1001,customers!C911:C1911,,0)=0,"",_xlfn.XLOOKUP(C912,customers!$A$1:$A$1001,customers!C911:C1911,,0))</f>
        <v/>
      </c>
      <c r="H912" s="2" t="str">
        <f>_xlfn.XLOOKUP(orders!C912,customers!$A$1:$A$1001,customers!$G$1:$G$1001,,0)</f>
        <v>United States</v>
      </c>
      <c r="I912" t="str">
        <f>INDEX(products!$A$1:$G$49,MATCH(orders!$D912, products!$A$1:$A$49,0), MATCH(orders!I$1,products!$A$1:$G$1,0))</f>
        <v>Ara</v>
      </c>
      <c r="J912" t="str">
        <f>INDEX(products!$A$1:$G$49,MATCH(orders!$D912, products!$A$1:$A$49,0), MATCH(orders!J$1,products!$A$1:$G$1,0))</f>
        <v>D</v>
      </c>
      <c r="K912" s="4">
        <f>INDEX(products!$A$1:$G$49,MATCH(orders!$D912, products!$A$1:$A$49,0), MATCH(orders!K$1,products!$A$1:$G$1,0))</f>
        <v>2.5</v>
      </c>
      <c r="L912" s="5">
        <f>INDEX(products!$A$1:$G$49,MATCH(orders!$D912, products!$A$1:$A$49,0), MATCH(orders!L$1,products!$A$1:$G$1,0))</f>
        <v>22.884999999999998</v>
      </c>
      <c r="M912" s="5">
        <f t="shared" si="42"/>
        <v>91.539999999999992</v>
      </c>
      <c r="N912" t="str">
        <f t="shared" si="43"/>
        <v>Arabica</v>
      </c>
      <c r="O912" t="str">
        <f t="shared" si="44"/>
        <v>Dark</v>
      </c>
      <c r="P912" t="str">
        <f>_xlfn.XLOOKUP(Table1[[#This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IF(_xlfn.XLOOKUP(C913,customers!$A$1:$A$1001,customers!C912:C1912,,0)=0,"",_xlfn.XLOOKUP(C913,customers!$A$1:$A$1001,customers!C912:C1912,,0))</f>
        <v/>
      </c>
      <c r="H913" s="2" t="str">
        <f>_xlfn.XLOOKUP(orders!C913,customers!$A$1:$A$1001,customers!$G$1:$G$1001,,0)</f>
        <v>United States</v>
      </c>
      <c r="I913" t="str">
        <f>INDEX(products!$A$1:$G$49,MATCH(orders!$D913, products!$A$1:$A$49,0), MATCH(orders!I$1,products!$A$1:$G$1,0))</f>
        <v>Ara</v>
      </c>
      <c r="J913" t="str">
        <f>INDEX(products!$A$1:$G$49,MATCH(orders!$D913, products!$A$1:$A$49,0), MATCH(orders!J$1,products!$A$1:$G$1,0))</f>
        <v>M</v>
      </c>
      <c r="K913" s="4">
        <f>INDEX(products!$A$1:$G$49,MATCH(orders!$D913, products!$A$1:$A$49,0), MATCH(orders!K$1,products!$A$1:$G$1,0))</f>
        <v>1</v>
      </c>
      <c r="L913" s="5">
        <f>INDEX(products!$A$1:$G$49,MATCH(orders!$D913, products!$A$1:$A$49,0), MATCH(orders!L$1,products!$A$1:$G$1,0))</f>
        <v>11.25</v>
      </c>
      <c r="M913" s="5">
        <f t="shared" si="42"/>
        <v>45</v>
      </c>
      <c r="N913" t="str">
        <f t="shared" si="43"/>
        <v>Arabica</v>
      </c>
      <c r="O913" t="str">
        <f t="shared" si="44"/>
        <v>Medium</v>
      </c>
      <c r="P913" t="str">
        <f>_xlfn.XLOOKUP(Table1[[#This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IF(_xlfn.XLOOKUP(C914,customers!$A$1:$A$1001,customers!C913:C1913,,0)=0,"",_xlfn.XLOOKUP(C914,customers!$A$1:$A$1001,customers!C913:C1913,,0))</f>
        <v/>
      </c>
      <c r="H914" s="2" t="str">
        <f>_xlfn.XLOOKUP(orders!C914,customers!$A$1:$A$1001,customers!$G$1:$G$1001,,0)</f>
        <v>United States</v>
      </c>
      <c r="I914" t="str">
        <f>INDEX(products!$A$1:$G$49,MATCH(orders!$D914, products!$A$1:$A$49,0), MATCH(orders!I$1,products!$A$1:$G$1,0))</f>
        <v>Rob</v>
      </c>
      <c r="J914" t="str">
        <f>INDEX(products!$A$1:$G$49,MATCH(orders!$D914, products!$A$1:$A$49,0), MATCH(orders!J$1,products!$A$1:$G$1,0))</f>
        <v>M</v>
      </c>
      <c r="K914" s="4">
        <f>INDEX(products!$A$1:$G$49,MATCH(orders!$D914, products!$A$1:$A$49,0), MATCH(orders!K$1,products!$A$1:$G$1,0))</f>
        <v>2.5</v>
      </c>
      <c r="L914" s="5">
        <f>INDEX(products!$A$1:$G$49,MATCH(orders!$D914, products!$A$1:$A$49,0), MATCH(orders!L$1,products!$A$1:$G$1,0))</f>
        <v>22.884999999999998</v>
      </c>
      <c r="M914" s="5">
        <f t="shared" si="42"/>
        <v>137.31</v>
      </c>
      <c r="N914" t="str">
        <f t="shared" si="43"/>
        <v>Robusta</v>
      </c>
      <c r="O914" t="str">
        <f t="shared" si="44"/>
        <v>Medium</v>
      </c>
      <c r="P914" t="str">
        <f>_xlfn.XLOOKUP(Table1[[#This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IF(_xlfn.XLOOKUP(C915,customers!$A$1:$A$1001,customers!C914:C1914,,0)=0,"",_xlfn.XLOOKUP(C915,customers!$A$1:$A$1001,customers!C914:C1914,,0))</f>
        <v/>
      </c>
      <c r="H915" s="2" t="str">
        <f>_xlfn.XLOOKUP(orders!C915,customers!$A$1:$A$1001,customers!$G$1:$G$1001,,0)</f>
        <v>United States</v>
      </c>
      <c r="I915" t="str">
        <f>INDEX(products!$A$1:$G$49,MATCH(orders!$D915, products!$A$1:$A$49,0), MATCH(orders!I$1,products!$A$1:$G$1,0))</f>
        <v>Ara</v>
      </c>
      <c r="J915" t="str">
        <f>INDEX(products!$A$1:$G$49,MATCH(orders!$D915, products!$A$1:$A$49,0), MATCH(orders!J$1,products!$A$1:$G$1,0))</f>
        <v>M</v>
      </c>
      <c r="K915" s="4">
        <f>INDEX(products!$A$1:$G$49,MATCH(orders!$D915, products!$A$1:$A$49,0), MATCH(orders!K$1,products!$A$1:$G$1,0))</f>
        <v>0.5</v>
      </c>
      <c r="L915" s="5">
        <f>INDEX(products!$A$1:$G$49,MATCH(orders!$D915, products!$A$1:$A$49,0), MATCH(orders!L$1,products!$A$1:$G$1,0))</f>
        <v>6.75</v>
      </c>
      <c r="M915" s="5">
        <f t="shared" si="42"/>
        <v>6.75</v>
      </c>
      <c r="N915" t="str">
        <f t="shared" si="43"/>
        <v>Arabica</v>
      </c>
      <c r="O915" t="str">
        <f t="shared" si="44"/>
        <v>Medium</v>
      </c>
      <c r="P915" t="str">
        <f>_xlfn.XLOOKUP(Table1[[#This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IF(_xlfn.XLOOKUP(C916,customers!$A$1:$A$1001,customers!C915:C1915,,0)=0,"",_xlfn.XLOOKUP(C916,customers!$A$1:$A$1001,customers!C915:C1915,,0))</f>
        <v/>
      </c>
      <c r="H916" s="2" t="str">
        <f>_xlfn.XLOOKUP(orders!C916,customers!$A$1:$A$1001,customers!$G$1:$G$1001,,0)</f>
        <v>United States</v>
      </c>
      <c r="I916" t="str">
        <f>INDEX(products!$A$1:$G$49,MATCH(orders!$D916, products!$A$1:$A$49,0), MATCH(orders!I$1,products!$A$1:$G$1,0))</f>
        <v>Ara</v>
      </c>
      <c r="J916" t="str">
        <f>INDEX(products!$A$1:$G$49,MATCH(orders!$D916, products!$A$1:$A$49,0), MATCH(orders!J$1,products!$A$1:$G$1,0))</f>
        <v>M</v>
      </c>
      <c r="K916" s="4">
        <f>INDEX(products!$A$1:$G$49,MATCH(orders!$D916, products!$A$1:$A$49,0), MATCH(orders!K$1,products!$A$1:$G$1,0))</f>
        <v>1</v>
      </c>
      <c r="L916" s="5">
        <f>INDEX(products!$A$1:$G$49,MATCH(orders!$D916, products!$A$1:$A$49,0), MATCH(orders!L$1,products!$A$1:$G$1,0))</f>
        <v>11.25</v>
      </c>
      <c r="M916" s="5">
        <f t="shared" si="42"/>
        <v>45</v>
      </c>
      <c r="N916" t="str">
        <f t="shared" si="43"/>
        <v>Arabica</v>
      </c>
      <c r="O916" t="str">
        <f t="shared" si="44"/>
        <v>Medium</v>
      </c>
      <c r="P916" t="str">
        <f>_xlfn.XLOOKUP(Table1[[#This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IF(_xlfn.XLOOKUP(C917,customers!$A$1:$A$1001,customers!C916:C1916,,0)=0,"",_xlfn.XLOOKUP(C917,customers!$A$1:$A$1001,customers!C916:C1916,,0))</f>
        <v/>
      </c>
      <c r="H917" s="2" t="str">
        <f>_xlfn.XLOOKUP(orders!C917,customers!$A$1:$A$1001,customers!$G$1:$G$1001,,0)</f>
        <v>United States</v>
      </c>
      <c r="I917" t="str">
        <f>INDEX(products!$A$1:$G$49,MATCH(orders!$D917, products!$A$1:$A$49,0), MATCH(orders!I$1,products!$A$1:$G$1,0))</f>
        <v>Exc</v>
      </c>
      <c r="J917" t="str">
        <f>INDEX(products!$A$1:$G$49,MATCH(orders!$D917, products!$A$1:$A$49,0), MATCH(orders!J$1,products!$A$1:$G$1,0))</f>
        <v>D</v>
      </c>
      <c r="K917" s="4">
        <f>INDEX(products!$A$1:$G$49,MATCH(orders!$D917, products!$A$1:$A$49,0), MATCH(orders!K$1,products!$A$1:$G$1,0))</f>
        <v>2.5</v>
      </c>
      <c r="L917" s="5">
        <f>INDEX(products!$A$1:$G$49,MATCH(orders!$D917, products!$A$1:$A$49,0), MATCH(orders!L$1,products!$A$1:$G$1,0))</f>
        <v>27.945</v>
      </c>
      <c r="M917" s="5">
        <f t="shared" si="42"/>
        <v>83.835000000000008</v>
      </c>
      <c r="N917" t="str">
        <f t="shared" si="43"/>
        <v>Excelsa</v>
      </c>
      <c r="O917" t="str">
        <f t="shared" si="44"/>
        <v>Dark</v>
      </c>
      <c r="P917" t="str">
        <f>_xlfn.XLOOKUP(Table1[[#This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IF(_xlfn.XLOOKUP(C918,customers!$A$1:$A$1001,customers!C917:C1917,,0)=0,"",_xlfn.XLOOKUP(C918,customers!$A$1:$A$1001,customers!C917:C1917,,0))</f>
        <v/>
      </c>
      <c r="H918" s="2" t="str">
        <f>_xlfn.XLOOKUP(orders!C918,customers!$A$1:$A$1001,customers!$G$1:$G$1001,,0)</f>
        <v>Ireland</v>
      </c>
      <c r="I918" t="str">
        <f>INDEX(products!$A$1:$G$49,MATCH(orders!$D918, products!$A$1:$A$49,0), MATCH(orders!I$1,products!$A$1:$G$1,0))</f>
        <v>Exc</v>
      </c>
      <c r="J918" t="str">
        <f>INDEX(products!$A$1:$G$49,MATCH(orders!$D918, products!$A$1:$A$49,0), MATCH(orders!J$1,products!$A$1:$G$1,0))</f>
        <v>D</v>
      </c>
      <c r="K918" s="4">
        <f>INDEX(products!$A$1:$G$49,MATCH(orders!$D918, products!$A$1:$A$49,0), MATCH(orders!K$1,products!$A$1:$G$1,0))</f>
        <v>0.2</v>
      </c>
      <c r="L918" s="5">
        <f>INDEX(products!$A$1:$G$49,MATCH(orders!$D918, products!$A$1:$A$49,0), MATCH(orders!L$1,products!$A$1:$G$1,0))</f>
        <v>3.645</v>
      </c>
      <c r="M918" s="5">
        <f t="shared" si="42"/>
        <v>3.645</v>
      </c>
      <c r="N918" t="str">
        <f t="shared" si="43"/>
        <v>Excelsa</v>
      </c>
      <c r="O918" t="str">
        <f t="shared" si="44"/>
        <v>Dark</v>
      </c>
      <c r="P918" t="str">
        <f>_xlfn.XLOOKUP(Table1[[#This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IF(_xlfn.XLOOKUP(C919,customers!$A$1:$A$1001,customers!C918:C1918,,0)=0,"",_xlfn.XLOOKUP(C919,customers!$A$1:$A$1001,customers!C918:C1918,,0))</f>
        <v/>
      </c>
      <c r="H919" s="2" t="str">
        <f>_xlfn.XLOOKUP(orders!C919,customers!$A$1:$A$1001,customers!$G$1:$G$1001,,0)</f>
        <v>United Kingdom</v>
      </c>
      <c r="I919" t="str">
        <f>INDEX(products!$A$1:$G$49,MATCH(orders!$D919, products!$A$1:$A$49,0), MATCH(orders!I$1,products!$A$1:$G$1,0))</f>
        <v>Ara</v>
      </c>
      <c r="J919" t="str">
        <f>INDEX(products!$A$1:$G$49,MATCH(orders!$D919, products!$A$1:$A$49,0), MATCH(orders!J$1,products!$A$1:$G$1,0))</f>
        <v>M</v>
      </c>
      <c r="K919" s="4">
        <f>INDEX(products!$A$1:$G$49,MATCH(orders!$D919, products!$A$1:$A$49,0), MATCH(orders!K$1,products!$A$1:$G$1,0))</f>
        <v>0.5</v>
      </c>
      <c r="L919" s="5">
        <f>INDEX(products!$A$1:$G$49,MATCH(orders!$D919, products!$A$1:$A$49,0), MATCH(orders!L$1,products!$A$1:$G$1,0))</f>
        <v>6.75</v>
      </c>
      <c r="M919" s="5">
        <f t="shared" si="42"/>
        <v>6.75</v>
      </c>
      <c r="N919" t="str">
        <f t="shared" si="43"/>
        <v>Arabica</v>
      </c>
      <c r="O919" t="str">
        <f t="shared" si="44"/>
        <v>Medium</v>
      </c>
      <c r="P919" t="str">
        <f>_xlfn.XLOOKUP(Table1[[#This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IF(_xlfn.XLOOKUP(C920,customers!$A$1:$A$1001,customers!C919:C1919,,0)=0,"",_xlfn.XLOOKUP(C920,customers!$A$1:$A$1001,customers!C919:C1919,,0))</f>
        <v/>
      </c>
      <c r="H920" s="2" t="str">
        <f>_xlfn.XLOOKUP(orders!C920,customers!$A$1:$A$1001,customers!$G$1:$G$1001,,0)</f>
        <v>United Kingdom</v>
      </c>
      <c r="I920" t="str">
        <f>INDEX(products!$A$1:$G$49,MATCH(orders!$D920, products!$A$1:$A$49,0), MATCH(orders!I$1,products!$A$1:$G$1,0))</f>
        <v>Exc</v>
      </c>
      <c r="J920" t="str">
        <f>INDEX(products!$A$1:$G$49,MATCH(orders!$D920, products!$A$1:$A$49,0), MATCH(orders!J$1,products!$A$1:$G$1,0))</f>
        <v>D</v>
      </c>
      <c r="K920" s="4">
        <f>INDEX(products!$A$1:$G$49,MATCH(orders!$D920, products!$A$1:$A$49,0), MATCH(orders!K$1,products!$A$1:$G$1,0))</f>
        <v>0.5</v>
      </c>
      <c r="L920" s="5">
        <f>INDEX(products!$A$1:$G$49,MATCH(orders!$D920, products!$A$1:$A$49,0), MATCH(orders!L$1,products!$A$1:$G$1,0))</f>
        <v>7.29</v>
      </c>
      <c r="M920" s="5">
        <f t="shared" si="42"/>
        <v>21.87</v>
      </c>
      <c r="N920" t="str">
        <f t="shared" si="43"/>
        <v>Excelsa</v>
      </c>
      <c r="O920" t="str">
        <f t="shared" si="44"/>
        <v>Dark</v>
      </c>
      <c r="P920" t="str">
        <f>_xlfn.XLOOKUP(Table1[[#This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IF(_xlfn.XLOOKUP(C921,customers!$A$1:$A$1001,customers!C920:C1920,,0)=0,"",_xlfn.XLOOKUP(C921,customers!$A$1:$A$1001,customers!C920:C1920,,0))</f>
        <v/>
      </c>
      <c r="H921" s="2" t="str">
        <f>_xlfn.XLOOKUP(orders!C921,customers!$A$1:$A$1001,customers!$G$1:$G$1001,,0)</f>
        <v>United States</v>
      </c>
      <c r="I921" t="str">
        <f>INDEX(products!$A$1:$G$49,MATCH(orders!$D921, products!$A$1:$A$49,0), MATCH(orders!I$1,products!$A$1:$G$1,0))</f>
        <v>Rob</v>
      </c>
      <c r="J921" t="str">
        <f>INDEX(products!$A$1:$G$49,MATCH(orders!$D921, products!$A$1:$A$49,0), MATCH(orders!J$1,products!$A$1:$G$1,0))</f>
        <v>D</v>
      </c>
      <c r="K921" s="4">
        <f>INDEX(products!$A$1:$G$49,MATCH(orders!$D921, products!$A$1:$A$49,0), MATCH(orders!K$1,products!$A$1:$G$1,0))</f>
        <v>0.2</v>
      </c>
      <c r="L921" s="5">
        <f>INDEX(products!$A$1:$G$49,MATCH(orders!$D921, products!$A$1:$A$49,0), MATCH(orders!L$1,products!$A$1:$G$1,0))</f>
        <v>2.6849999999999996</v>
      </c>
      <c r="M921" s="5">
        <f t="shared" si="42"/>
        <v>13.424999999999997</v>
      </c>
      <c r="N921" t="str">
        <f t="shared" si="43"/>
        <v>Robusta</v>
      </c>
      <c r="O921" t="str">
        <f t="shared" si="44"/>
        <v>Dark</v>
      </c>
      <c r="P921" t="str">
        <f>_xlfn.XLOOKUP(Table1[[#This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IF(_xlfn.XLOOKUP(C922,customers!$A$1:$A$1001,customers!C921:C1921,,0)=0,"",_xlfn.XLOOKUP(C922,customers!$A$1:$A$1001,customers!C921:C1921,,0))</f>
        <v/>
      </c>
      <c r="H922" s="2" t="str">
        <f>_xlfn.XLOOKUP(orders!C922,customers!$A$1:$A$1001,customers!$G$1:$G$1001,,0)</f>
        <v>United States</v>
      </c>
      <c r="I922" t="str">
        <f>INDEX(products!$A$1:$G$49,MATCH(orders!$D922, products!$A$1:$A$49,0), MATCH(orders!I$1,products!$A$1:$G$1,0))</f>
        <v>Rob</v>
      </c>
      <c r="J922" t="str">
        <f>INDEX(products!$A$1:$G$49,MATCH(orders!$D922, products!$A$1:$A$49,0), MATCH(orders!J$1,products!$A$1:$G$1,0))</f>
        <v>D</v>
      </c>
      <c r="K922" s="4">
        <f>INDEX(products!$A$1:$G$49,MATCH(orders!$D922, products!$A$1:$A$49,0), MATCH(orders!K$1,products!$A$1:$G$1,0))</f>
        <v>2.5</v>
      </c>
      <c r="L922" s="5">
        <f>INDEX(products!$A$1:$G$49,MATCH(orders!$D922, products!$A$1:$A$49,0), MATCH(orders!L$1,products!$A$1:$G$1,0))</f>
        <v>20.584999999999997</v>
      </c>
      <c r="M922" s="5">
        <f t="shared" si="42"/>
        <v>123.50999999999999</v>
      </c>
      <c r="N922" t="str">
        <f t="shared" si="43"/>
        <v>Robusta</v>
      </c>
      <c r="O922" t="str">
        <f t="shared" si="44"/>
        <v>Dark</v>
      </c>
      <c r="P922" t="str">
        <f>_xlfn.XLOOKUP(Table1[[#This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IF(_xlfn.XLOOKUP(C923,customers!$A$1:$A$1001,customers!C922:C1922,,0)=0,"",_xlfn.XLOOKUP(C923,customers!$A$1:$A$1001,customers!C922:C1922,,0))</f>
        <v/>
      </c>
      <c r="H923" s="2" t="str">
        <f>_xlfn.XLOOKUP(orders!C923,customers!$A$1:$A$1001,customers!$G$1:$G$1001,,0)</f>
        <v>United States</v>
      </c>
      <c r="I923" t="str">
        <f>INDEX(products!$A$1:$G$49,MATCH(orders!$D923, products!$A$1:$A$49,0), MATCH(orders!I$1,products!$A$1:$G$1,0))</f>
        <v>Lib</v>
      </c>
      <c r="J923" t="str">
        <f>INDEX(products!$A$1:$G$49,MATCH(orders!$D923, products!$A$1:$A$49,0), MATCH(orders!J$1,products!$A$1:$G$1,0))</f>
        <v>D</v>
      </c>
      <c r="K923" s="4">
        <f>INDEX(products!$A$1:$G$49,MATCH(orders!$D923, products!$A$1:$A$49,0), MATCH(orders!K$1,products!$A$1:$G$1,0))</f>
        <v>0.2</v>
      </c>
      <c r="L923" s="5">
        <f>INDEX(products!$A$1:$G$49,MATCH(orders!$D923, products!$A$1:$A$49,0), MATCH(orders!L$1,products!$A$1:$G$1,0))</f>
        <v>3.8849999999999998</v>
      </c>
      <c r="M923" s="5">
        <f t="shared" si="42"/>
        <v>7.77</v>
      </c>
      <c r="N923" t="str">
        <f t="shared" si="43"/>
        <v>Liberica</v>
      </c>
      <c r="O923" t="str">
        <f t="shared" si="44"/>
        <v>Dark</v>
      </c>
      <c r="P923" t="str">
        <f>_xlfn.XLOOKUP(Table1[[#This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IF(_xlfn.XLOOKUP(C924,customers!$A$1:$A$1001,customers!C923:C1923,,0)=0,"",_xlfn.XLOOKUP(C924,customers!$A$1:$A$1001,customers!C923:C1923,,0))</f>
        <v/>
      </c>
      <c r="H924" s="2" t="str">
        <f>_xlfn.XLOOKUP(orders!C924,customers!$A$1:$A$1001,customers!$G$1:$G$1001,,0)</f>
        <v>United States</v>
      </c>
      <c r="I924" t="str">
        <f>INDEX(products!$A$1:$G$49,MATCH(orders!$D924, products!$A$1:$A$49,0), MATCH(orders!I$1,products!$A$1:$G$1,0))</f>
        <v>Ara</v>
      </c>
      <c r="J924" t="str">
        <f>INDEX(products!$A$1:$G$49,MATCH(orders!$D924, products!$A$1:$A$49,0), MATCH(orders!J$1,products!$A$1:$G$1,0))</f>
        <v>M</v>
      </c>
      <c r="K924" s="4">
        <f>INDEX(products!$A$1:$G$49,MATCH(orders!$D924, products!$A$1:$A$49,0), MATCH(orders!K$1,products!$A$1:$G$1,0))</f>
        <v>1</v>
      </c>
      <c r="L924" s="5">
        <f>INDEX(products!$A$1:$G$49,MATCH(orders!$D924, products!$A$1:$A$49,0), MATCH(orders!L$1,products!$A$1:$G$1,0))</f>
        <v>11.25</v>
      </c>
      <c r="M924" s="5">
        <f t="shared" si="42"/>
        <v>67.5</v>
      </c>
      <c r="N924" t="str">
        <f t="shared" si="43"/>
        <v>Arabica</v>
      </c>
      <c r="O924" t="str">
        <f t="shared" si="44"/>
        <v>Medium</v>
      </c>
      <c r="P924" t="str">
        <f>_xlfn.XLOOKUP(Table1[[#This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IF(_xlfn.XLOOKUP(C925,customers!$A$1:$A$1001,customers!C924:C1924,,0)=0,"",_xlfn.XLOOKUP(C925,customers!$A$1:$A$1001,customers!C924:C1924,,0))</f>
        <v/>
      </c>
      <c r="H925" s="2" t="str">
        <f>_xlfn.XLOOKUP(orders!C925,customers!$A$1:$A$1001,customers!$G$1:$G$1001,,0)</f>
        <v>United States</v>
      </c>
      <c r="I925" t="str">
        <f>INDEX(products!$A$1:$G$49,MATCH(orders!$D925, products!$A$1:$A$49,0), MATCH(orders!I$1,products!$A$1:$G$1,0))</f>
        <v>Exc</v>
      </c>
      <c r="J925" t="str">
        <f>INDEX(products!$A$1:$G$49,MATCH(orders!$D925, products!$A$1:$A$49,0), MATCH(orders!J$1,products!$A$1:$G$1,0))</f>
        <v>D</v>
      </c>
      <c r="K925" s="4">
        <f>INDEX(products!$A$1:$G$49,MATCH(orders!$D925, products!$A$1:$A$49,0), MATCH(orders!K$1,products!$A$1:$G$1,0))</f>
        <v>2.5</v>
      </c>
      <c r="L925" s="5">
        <f>INDEX(products!$A$1:$G$49,MATCH(orders!$D925, products!$A$1:$A$49,0), MATCH(orders!L$1,products!$A$1:$G$1,0))</f>
        <v>27.945</v>
      </c>
      <c r="M925" s="5">
        <f t="shared" si="42"/>
        <v>27.945</v>
      </c>
      <c r="N925" t="str">
        <f t="shared" si="43"/>
        <v>Excelsa</v>
      </c>
      <c r="O925" t="str">
        <f t="shared" si="44"/>
        <v>Dark</v>
      </c>
      <c r="P925" t="str">
        <f>_xlfn.XLOOKUP(Table1[[#This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IF(_xlfn.XLOOKUP(C926,customers!$A$1:$A$1001,customers!C925:C1925,,0)=0,"",_xlfn.XLOOKUP(C926,customers!$A$1:$A$1001,customers!C925:C1925,,0))</f>
        <v/>
      </c>
      <c r="H926" s="2" t="str">
        <f>_xlfn.XLOOKUP(orders!C926,customers!$A$1:$A$1001,customers!$G$1:$G$1001,,0)</f>
        <v>United States</v>
      </c>
      <c r="I926" t="str">
        <f>INDEX(products!$A$1:$G$49,MATCH(orders!$D926, products!$A$1:$A$49,0), MATCH(orders!I$1,products!$A$1:$G$1,0))</f>
        <v>Ara</v>
      </c>
      <c r="J926" t="str">
        <f>INDEX(products!$A$1:$G$49,MATCH(orders!$D926, products!$A$1:$A$49,0), MATCH(orders!J$1,products!$A$1:$G$1,0))</f>
        <v>L</v>
      </c>
      <c r="K926" s="4">
        <f>INDEX(products!$A$1:$G$49,MATCH(orders!$D926, products!$A$1:$A$49,0), MATCH(orders!K$1,products!$A$1:$G$1,0))</f>
        <v>2.5</v>
      </c>
      <c r="L926" s="5">
        <f>INDEX(products!$A$1:$G$49,MATCH(orders!$D926, products!$A$1:$A$49,0), MATCH(orders!L$1,products!$A$1:$G$1,0))</f>
        <v>29.784999999999997</v>
      </c>
      <c r="M926" s="5">
        <f t="shared" si="42"/>
        <v>89.35499999999999</v>
      </c>
      <c r="N926" t="str">
        <f t="shared" si="43"/>
        <v>Arabica</v>
      </c>
      <c r="O926" t="str">
        <f t="shared" si="44"/>
        <v>Light</v>
      </c>
      <c r="P926" t="str">
        <f>_xlfn.XLOOKUP(Table1[[#This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IF(_xlfn.XLOOKUP(C927,customers!$A$1:$A$1001,customers!C926:C1926,,0)=0,"",_xlfn.XLOOKUP(C927,customers!$A$1:$A$1001,customers!C926:C1926,,0))</f>
        <v/>
      </c>
      <c r="H927" s="2" t="str">
        <f>_xlfn.XLOOKUP(orders!C927,customers!$A$1:$A$1001,customers!$G$1:$G$1001,,0)</f>
        <v>United States</v>
      </c>
      <c r="I927" t="str">
        <f>INDEX(products!$A$1:$G$49,MATCH(orders!$D927, products!$A$1:$A$49,0), MATCH(orders!I$1,products!$A$1:$G$1,0))</f>
        <v>Ara</v>
      </c>
      <c r="J927" t="str">
        <f>INDEX(products!$A$1:$G$49,MATCH(orders!$D927, products!$A$1:$A$49,0), MATCH(orders!J$1,products!$A$1:$G$1,0))</f>
        <v>M</v>
      </c>
      <c r="K927" s="4">
        <f>INDEX(products!$A$1:$G$49,MATCH(orders!$D927, products!$A$1:$A$49,0), MATCH(orders!K$1,products!$A$1:$G$1,0))</f>
        <v>0.5</v>
      </c>
      <c r="L927" s="5">
        <f>INDEX(products!$A$1:$G$49,MATCH(orders!$D927, products!$A$1:$A$49,0), MATCH(orders!L$1,products!$A$1:$G$1,0))</f>
        <v>6.75</v>
      </c>
      <c r="M927" s="5">
        <f t="shared" si="42"/>
        <v>20.25</v>
      </c>
      <c r="N927" t="str">
        <f t="shared" si="43"/>
        <v>Arabica</v>
      </c>
      <c r="O927" t="str">
        <f t="shared" si="44"/>
        <v>Medium</v>
      </c>
      <c r="P927" t="str">
        <f>_xlfn.XLOOKUP(Table1[[#This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IF(_xlfn.XLOOKUP(C928,customers!$A$1:$A$1001,customers!C927:C1927,,0)=0,"",_xlfn.XLOOKUP(C928,customers!$A$1:$A$1001,customers!C927:C1927,,0))</f>
        <v/>
      </c>
      <c r="H928" s="2" t="str">
        <f>_xlfn.XLOOKUP(orders!C928,customers!$A$1:$A$1001,customers!$G$1:$G$1001,,0)</f>
        <v>United States</v>
      </c>
      <c r="I928" t="str">
        <f>INDEX(products!$A$1:$G$49,MATCH(orders!$D928, products!$A$1:$A$49,0), MATCH(orders!I$1,products!$A$1:$G$1,0))</f>
        <v>Ara</v>
      </c>
      <c r="J928" t="str">
        <f>INDEX(products!$A$1:$G$49,MATCH(orders!$D928, products!$A$1:$A$49,0), MATCH(orders!J$1,products!$A$1:$G$1,0))</f>
        <v>M</v>
      </c>
      <c r="K928" s="4">
        <f>INDEX(products!$A$1:$G$49,MATCH(orders!$D928, products!$A$1:$A$49,0), MATCH(orders!K$1,products!$A$1:$G$1,0))</f>
        <v>0.5</v>
      </c>
      <c r="L928" s="5">
        <f>INDEX(products!$A$1:$G$49,MATCH(orders!$D928, products!$A$1:$A$49,0), MATCH(orders!L$1,products!$A$1:$G$1,0))</f>
        <v>6.75</v>
      </c>
      <c r="M928" s="5">
        <f t="shared" si="42"/>
        <v>33.75</v>
      </c>
      <c r="N928" t="str">
        <f t="shared" si="43"/>
        <v>Arabica</v>
      </c>
      <c r="O928" t="str">
        <f t="shared" si="44"/>
        <v>Medium</v>
      </c>
      <c r="P928" t="str">
        <f>_xlfn.XLOOKUP(Table1[[#This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IF(_xlfn.XLOOKUP(C929,customers!$A$1:$A$1001,customers!C928:C1928,,0)=0,"",_xlfn.XLOOKUP(C929,customers!$A$1:$A$1001,customers!C928:C1928,,0))</f>
        <v/>
      </c>
      <c r="H929" s="2" t="str">
        <f>_xlfn.XLOOKUP(orders!C929,customers!$A$1:$A$1001,customers!$G$1:$G$1001,,0)</f>
        <v>United States</v>
      </c>
      <c r="I929" t="str">
        <f>INDEX(products!$A$1:$G$49,MATCH(orders!$D929, products!$A$1:$A$49,0), MATCH(orders!I$1,products!$A$1:$G$1,0))</f>
        <v>Exc</v>
      </c>
      <c r="J929" t="str">
        <f>INDEX(products!$A$1:$G$49,MATCH(orders!$D929, products!$A$1:$A$49,0), MATCH(orders!J$1,products!$A$1:$G$1,0))</f>
        <v>D</v>
      </c>
      <c r="K929" s="4">
        <f>INDEX(products!$A$1:$G$49,MATCH(orders!$D929, products!$A$1:$A$49,0), MATCH(orders!K$1,products!$A$1:$G$1,0))</f>
        <v>2.5</v>
      </c>
      <c r="L929" s="5">
        <f>INDEX(products!$A$1:$G$49,MATCH(orders!$D929, products!$A$1:$A$49,0), MATCH(orders!L$1,products!$A$1:$G$1,0))</f>
        <v>27.945</v>
      </c>
      <c r="M929" s="5">
        <f t="shared" si="42"/>
        <v>111.78</v>
      </c>
      <c r="N929" t="str">
        <f t="shared" si="43"/>
        <v>Excelsa</v>
      </c>
      <c r="O929" t="str">
        <f t="shared" si="44"/>
        <v>Dark</v>
      </c>
      <c r="P929" t="str">
        <f>_xlfn.XLOOKUP(Table1[[#This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IF(_xlfn.XLOOKUP(C930,customers!$A$1:$A$1001,customers!C929:C1929,,0)=0,"",_xlfn.XLOOKUP(C930,customers!$A$1:$A$1001,customers!C929:C1929,,0))</f>
        <v/>
      </c>
      <c r="H930" s="2" t="str">
        <f>_xlfn.XLOOKUP(orders!C930,customers!$A$1:$A$1001,customers!$G$1:$G$1001,,0)</f>
        <v>United States</v>
      </c>
      <c r="I930" t="str">
        <f>INDEX(products!$A$1:$G$49,MATCH(orders!$D930, products!$A$1:$A$49,0), MATCH(orders!I$1,products!$A$1:$G$1,0))</f>
        <v>Exc</v>
      </c>
      <c r="J930" t="str">
        <f>INDEX(products!$A$1:$G$49,MATCH(orders!$D930, products!$A$1:$A$49,0), MATCH(orders!J$1,products!$A$1:$G$1,0))</f>
        <v>M</v>
      </c>
      <c r="K930" s="4">
        <f>INDEX(products!$A$1:$G$49,MATCH(orders!$D930, products!$A$1:$A$49,0), MATCH(orders!K$1,products!$A$1:$G$1,0))</f>
        <v>2.5</v>
      </c>
      <c r="L930" s="5">
        <f>INDEX(products!$A$1:$G$49,MATCH(orders!$D930, products!$A$1:$A$49,0), MATCH(orders!L$1,products!$A$1:$G$1,0))</f>
        <v>31.624999999999996</v>
      </c>
      <c r="M930" s="5">
        <f t="shared" si="42"/>
        <v>63.249999999999993</v>
      </c>
      <c r="N930" t="str">
        <f t="shared" si="43"/>
        <v>Excelsa</v>
      </c>
      <c r="O930" t="str">
        <f t="shared" si="44"/>
        <v>Medium</v>
      </c>
      <c r="P930" t="str">
        <f>_xlfn.XLOOKUP(Table1[[#This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IF(_xlfn.XLOOKUP(C931,customers!$A$1:$A$1001,customers!C930:C1930,,0)=0,"",_xlfn.XLOOKUP(C931,customers!$A$1:$A$1001,customers!C930:C1930,,0))</f>
        <v/>
      </c>
      <c r="H931" s="2" t="str">
        <f>_xlfn.XLOOKUP(orders!C931,customers!$A$1:$A$1001,customers!$G$1:$G$1001,,0)</f>
        <v>United States</v>
      </c>
      <c r="I931" t="str">
        <f>INDEX(products!$A$1:$G$49,MATCH(orders!$D931, products!$A$1:$A$49,0), MATCH(orders!I$1,products!$A$1:$G$1,0))</f>
        <v>Exc</v>
      </c>
      <c r="J931" t="str">
        <f>INDEX(products!$A$1:$G$49,MATCH(orders!$D931, products!$A$1:$A$49,0), MATCH(orders!J$1,products!$A$1:$G$1,0))</f>
        <v>L</v>
      </c>
      <c r="K931" s="4">
        <f>INDEX(products!$A$1:$G$49,MATCH(orders!$D931, products!$A$1:$A$49,0), MATCH(orders!K$1,products!$A$1:$G$1,0))</f>
        <v>0.2</v>
      </c>
      <c r="L931" s="5">
        <f>INDEX(products!$A$1:$G$49,MATCH(orders!$D931, products!$A$1:$A$49,0), MATCH(orders!L$1,products!$A$1:$G$1,0))</f>
        <v>4.4550000000000001</v>
      </c>
      <c r="M931" s="5">
        <f t="shared" si="42"/>
        <v>8.91</v>
      </c>
      <c r="N931" t="str">
        <f t="shared" si="43"/>
        <v>Excelsa</v>
      </c>
      <c r="O931" t="str">
        <f t="shared" si="44"/>
        <v>Light</v>
      </c>
      <c r="P931" t="str">
        <f>_xlfn.XLOOKUP(Table1[[#This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IF(_xlfn.XLOOKUP(C932,customers!$A$1:$A$1001,customers!C931:C1931,,0)=0,"",_xlfn.XLOOKUP(C932,customers!$A$1:$A$1001,customers!C931:C1931,,0))</f>
        <v/>
      </c>
      <c r="H932" s="2" t="str">
        <f>_xlfn.XLOOKUP(orders!C932,customers!$A$1:$A$1001,customers!$G$1:$G$1001,,0)</f>
        <v>United States</v>
      </c>
      <c r="I932" t="str">
        <f>INDEX(products!$A$1:$G$49,MATCH(orders!$D932, products!$A$1:$A$49,0), MATCH(orders!I$1,products!$A$1:$G$1,0))</f>
        <v>Exc</v>
      </c>
      <c r="J932" t="str">
        <f>INDEX(products!$A$1:$G$49,MATCH(orders!$D932, products!$A$1:$A$49,0), MATCH(orders!J$1,products!$A$1:$G$1,0))</f>
        <v>D</v>
      </c>
      <c r="K932" s="4">
        <f>INDEX(products!$A$1:$G$49,MATCH(orders!$D932, products!$A$1:$A$49,0), MATCH(orders!K$1,products!$A$1:$G$1,0))</f>
        <v>1</v>
      </c>
      <c r="L932" s="5">
        <f>INDEX(products!$A$1:$G$49,MATCH(orders!$D932, products!$A$1:$A$49,0), MATCH(orders!L$1,products!$A$1:$G$1,0))</f>
        <v>12.15</v>
      </c>
      <c r="M932" s="5">
        <f t="shared" si="42"/>
        <v>12.15</v>
      </c>
      <c r="N932" t="str">
        <f t="shared" si="43"/>
        <v>Excelsa</v>
      </c>
      <c r="O932" t="str">
        <f t="shared" si="44"/>
        <v>Dark</v>
      </c>
      <c r="P932" t="str">
        <f>_xlfn.XLOOKUP(Table1[[#This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IF(_xlfn.XLOOKUP(C933,customers!$A$1:$A$1001,customers!C932:C1932,,0)=0,"",_xlfn.XLOOKUP(C933,customers!$A$1:$A$1001,customers!C932:C1932,,0))</f>
        <v/>
      </c>
      <c r="H933" s="2" t="str">
        <f>_xlfn.XLOOKUP(orders!C933,customers!$A$1:$A$1001,customers!$G$1:$G$1001,,0)</f>
        <v>United States</v>
      </c>
      <c r="I933" t="str">
        <f>INDEX(products!$A$1:$G$49,MATCH(orders!$D933, products!$A$1:$A$49,0), MATCH(orders!I$1,products!$A$1:$G$1,0))</f>
        <v>Ara</v>
      </c>
      <c r="J933" t="str">
        <f>INDEX(products!$A$1:$G$49,MATCH(orders!$D933, products!$A$1:$A$49,0), MATCH(orders!J$1,products!$A$1:$G$1,0))</f>
        <v>D</v>
      </c>
      <c r="K933" s="4">
        <f>INDEX(products!$A$1:$G$49,MATCH(orders!$D933, products!$A$1:$A$49,0), MATCH(orders!K$1,products!$A$1:$G$1,0))</f>
        <v>0.5</v>
      </c>
      <c r="L933" s="5">
        <f>INDEX(products!$A$1:$G$49,MATCH(orders!$D933, products!$A$1:$A$49,0), MATCH(orders!L$1,products!$A$1:$G$1,0))</f>
        <v>5.97</v>
      </c>
      <c r="M933" s="5">
        <f t="shared" si="42"/>
        <v>23.88</v>
      </c>
      <c r="N933" t="str">
        <f t="shared" si="43"/>
        <v>Arabica</v>
      </c>
      <c r="O933" t="str">
        <f t="shared" si="44"/>
        <v>Dark</v>
      </c>
      <c r="P933" t="str">
        <f>_xlfn.XLOOKUP(Table1[[#This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IF(_xlfn.XLOOKUP(C934,customers!$A$1:$A$1001,customers!C933:C1933,,0)=0,"",_xlfn.XLOOKUP(C934,customers!$A$1:$A$1001,customers!C933:C1933,,0))</f>
        <v/>
      </c>
      <c r="H934" s="2" t="str">
        <f>_xlfn.XLOOKUP(orders!C934,customers!$A$1:$A$1001,customers!$G$1:$G$1001,,0)</f>
        <v>United States</v>
      </c>
      <c r="I934" t="str">
        <f>INDEX(products!$A$1:$G$49,MATCH(orders!$D934, products!$A$1:$A$49,0), MATCH(orders!I$1,products!$A$1:$G$1,0))</f>
        <v>Exc</v>
      </c>
      <c r="J934" t="str">
        <f>INDEX(products!$A$1:$G$49,MATCH(orders!$D934, products!$A$1:$A$49,0), MATCH(orders!J$1,products!$A$1:$G$1,0))</f>
        <v>M</v>
      </c>
      <c r="K934" s="4">
        <f>INDEX(products!$A$1:$G$49,MATCH(orders!$D934, products!$A$1:$A$49,0), MATCH(orders!K$1,products!$A$1:$G$1,0))</f>
        <v>1</v>
      </c>
      <c r="L934" s="5">
        <f>INDEX(products!$A$1:$G$49,MATCH(orders!$D934, products!$A$1:$A$49,0), MATCH(orders!L$1,products!$A$1:$G$1,0))</f>
        <v>13.75</v>
      </c>
      <c r="M934" s="5">
        <f t="shared" si="42"/>
        <v>55</v>
      </c>
      <c r="N934" t="str">
        <f t="shared" si="43"/>
        <v>Excelsa</v>
      </c>
      <c r="O934" t="str">
        <f t="shared" si="44"/>
        <v>Medium</v>
      </c>
      <c r="P934" t="str">
        <f>_xlfn.XLOOKUP(Table1[[#This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IF(_xlfn.XLOOKUP(C935,customers!$A$1:$A$1001,customers!C934:C1934,,0)=0,"",_xlfn.XLOOKUP(C935,customers!$A$1:$A$1001,customers!C934:C1934,,0))</f>
        <v/>
      </c>
      <c r="H935" s="2" t="str">
        <f>_xlfn.XLOOKUP(orders!C935,customers!$A$1:$A$1001,customers!$G$1:$G$1001,,0)</f>
        <v>United States</v>
      </c>
      <c r="I935" t="str">
        <f>INDEX(products!$A$1:$G$49,MATCH(orders!$D935, products!$A$1:$A$49,0), MATCH(orders!I$1,products!$A$1:$G$1,0))</f>
        <v>Rob</v>
      </c>
      <c r="J935" t="str">
        <f>INDEX(products!$A$1:$G$49,MATCH(orders!$D935, products!$A$1:$A$49,0), MATCH(orders!J$1,products!$A$1:$G$1,0))</f>
        <v>D</v>
      </c>
      <c r="K935" s="4">
        <f>INDEX(products!$A$1:$G$49,MATCH(orders!$D935, products!$A$1:$A$49,0), MATCH(orders!K$1,products!$A$1:$G$1,0))</f>
        <v>1</v>
      </c>
      <c r="L935" s="5">
        <f>INDEX(products!$A$1:$G$49,MATCH(orders!$D935, products!$A$1:$A$49,0), MATCH(orders!L$1,products!$A$1:$G$1,0))</f>
        <v>8.9499999999999993</v>
      </c>
      <c r="M935" s="5">
        <f t="shared" si="42"/>
        <v>26.849999999999998</v>
      </c>
      <c r="N935" t="str">
        <f t="shared" si="43"/>
        <v>Robusta</v>
      </c>
      <c r="O935" t="str">
        <f t="shared" si="44"/>
        <v>Dark</v>
      </c>
      <c r="P935" t="str">
        <f>_xlfn.XLOOKUP(Table1[[#This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IF(_xlfn.XLOOKUP(C936,customers!$A$1:$A$1001,customers!C935:C1935,,0)=0,"",_xlfn.XLOOKUP(C936,customers!$A$1:$A$1001,customers!C935:C1935,,0))</f>
        <v/>
      </c>
      <c r="H936" s="2" t="str">
        <f>_xlfn.XLOOKUP(orders!C936,customers!$A$1:$A$1001,customers!$G$1:$G$1001,,0)</f>
        <v>United States</v>
      </c>
      <c r="I936" t="str">
        <f>INDEX(products!$A$1:$G$49,MATCH(orders!$D936, products!$A$1:$A$49,0), MATCH(orders!I$1,products!$A$1:$G$1,0))</f>
        <v>Rob</v>
      </c>
      <c r="J936" t="str">
        <f>INDEX(products!$A$1:$G$49,MATCH(orders!$D936, products!$A$1:$A$49,0), MATCH(orders!J$1,products!$A$1:$G$1,0))</f>
        <v>M</v>
      </c>
      <c r="K936" s="4">
        <f>INDEX(products!$A$1:$G$49,MATCH(orders!$D936, products!$A$1:$A$49,0), MATCH(orders!K$1,products!$A$1:$G$1,0))</f>
        <v>2.5</v>
      </c>
      <c r="L936" s="5">
        <f>INDEX(products!$A$1:$G$49,MATCH(orders!$D936, products!$A$1:$A$49,0), MATCH(orders!L$1,products!$A$1:$G$1,0))</f>
        <v>22.884999999999998</v>
      </c>
      <c r="M936" s="5">
        <f t="shared" si="42"/>
        <v>114.42499999999998</v>
      </c>
      <c r="N936" t="str">
        <f t="shared" si="43"/>
        <v>Robusta</v>
      </c>
      <c r="O936" t="str">
        <f t="shared" si="44"/>
        <v>Medium</v>
      </c>
      <c r="P936" t="str">
        <f>_xlfn.XLOOKUP(Table1[[#This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IF(_xlfn.XLOOKUP(C937,customers!$A$1:$A$1001,customers!C936:C1936,,0)=0,"",_xlfn.XLOOKUP(C937,customers!$A$1:$A$1001,customers!C936:C1936,,0))</f>
        <v/>
      </c>
      <c r="H937" s="2" t="str">
        <f>_xlfn.XLOOKUP(orders!C937,customers!$A$1:$A$1001,customers!$G$1:$G$1001,,0)</f>
        <v>United States</v>
      </c>
      <c r="I937" t="str">
        <f>INDEX(products!$A$1:$G$49,MATCH(orders!$D937, products!$A$1:$A$49,0), MATCH(orders!I$1,products!$A$1:$G$1,0))</f>
        <v>Ara</v>
      </c>
      <c r="J937" t="str">
        <f>INDEX(products!$A$1:$G$49,MATCH(orders!$D937, products!$A$1:$A$49,0), MATCH(orders!J$1,products!$A$1:$G$1,0))</f>
        <v>M</v>
      </c>
      <c r="K937" s="4">
        <f>INDEX(products!$A$1:$G$49,MATCH(orders!$D937, products!$A$1:$A$49,0), MATCH(orders!K$1,products!$A$1:$G$1,0))</f>
        <v>2.5</v>
      </c>
      <c r="L937" s="5">
        <f>INDEX(products!$A$1:$G$49,MATCH(orders!$D937, products!$A$1:$A$49,0), MATCH(orders!L$1,products!$A$1:$G$1,0))</f>
        <v>25.874999999999996</v>
      </c>
      <c r="M937" s="5">
        <f t="shared" si="42"/>
        <v>155.24999999999997</v>
      </c>
      <c r="N937" t="str">
        <f t="shared" si="43"/>
        <v>Arabica</v>
      </c>
      <c r="O937" t="str">
        <f t="shared" si="44"/>
        <v>Medium</v>
      </c>
      <c r="P937" t="str">
        <f>_xlfn.XLOOKUP(Table1[[#This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IF(_xlfn.XLOOKUP(C938,customers!$A$1:$A$1001,customers!C937:C1937,,0)=0,"",_xlfn.XLOOKUP(C938,customers!$A$1:$A$1001,customers!C937:C1937,,0))</f>
        <v/>
      </c>
      <c r="H938" s="2" t="str">
        <f>_xlfn.XLOOKUP(orders!C938,customers!$A$1:$A$1001,customers!$G$1:$G$1001,,0)</f>
        <v>United States</v>
      </c>
      <c r="I938" t="str">
        <f>INDEX(products!$A$1:$G$49,MATCH(orders!$D938, products!$A$1:$A$49,0), MATCH(orders!I$1,products!$A$1:$G$1,0))</f>
        <v>Lib</v>
      </c>
      <c r="J938" t="str">
        <f>INDEX(products!$A$1:$G$49,MATCH(orders!$D938, products!$A$1:$A$49,0), MATCH(orders!J$1,products!$A$1:$G$1,0))</f>
        <v>D</v>
      </c>
      <c r="K938" s="4">
        <f>INDEX(products!$A$1:$G$49,MATCH(orders!$D938, products!$A$1:$A$49,0), MATCH(orders!K$1,products!$A$1:$G$1,0))</f>
        <v>0.5</v>
      </c>
      <c r="L938" s="5">
        <f>INDEX(products!$A$1:$G$49,MATCH(orders!$D938, products!$A$1:$A$49,0), MATCH(orders!L$1,products!$A$1:$G$1,0))</f>
        <v>7.77</v>
      </c>
      <c r="M938" s="5">
        <f t="shared" si="42"/>
        <v>23.31</v>
      </c>
      <c r="N938" t="str">
        <f t="shared" si="43"/>
        <v>Liberica</v>
      </c>
      <c r="O938" t="str">
        <f t="shared" si="44"/>
        <v>Dark</v>
      </c>
      <c r="P938" t="str">
        <f>_xlfn.XLOOKUP(Table1[[#This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IF(_xlfn.XLOOKUP(C939,customers!$A$1:$A$1001,customers!C938:C1938,,0)=0,"",_xlfn.XLOOKUP(C939,customers!$A$1:$A$1001,customers!C938:C1938,,0))</f>
        <v/>
      </c>
      <c r="H939" s="2" t="str">
        <f>_xlfn.XLOOKUP(orders!C939,customers!$A$1:$A$1001,customers!$G$1:$G$1001,,0)</f>
        <v>United States</v>
      </c>
      <c r="I939" t="str">
        <f>INDEX(products!$A$1:$G$49,MATCH(orders!$D939, products!$A$1:$A$49,0), MATCH(orders!I$1,products!$A$1:$G$1,0))</f>
        <v>Rob</v>
      </c>
      <c r="J939" t="str">
        <f>INDEX(products!$A$1:$G$49,MATCH(orders!$D939, products!$A$1:$A$49,0), MATCH(orders!J$1,products!$A$1:$G$1,0))</f>
        <v>M</v>
      </c>
      <c r="K939" s="4">
        <f>INDEX(products!$A$1:$G$49,MATCH(orders!$D939, products!$A$1:$A$49,0), MATCH(orders!K$1,products!$A$1:$G$1,0))</f>
        <v>2.5</v>
      </c>
      <c r="L939" s="5">
        <f>INDEX(products!$A$1:$G$49,MATCH(orders!$D939, products!$A$1:$A$49,0), MATCH(orders!L$1,products!$A$1:$G$1,0))</f>
        <v>22.884999999999998</v>
      </c>
      <c r="M939" s="5">
        <f t="shared" si="42"/>
        <v>91.539999999999992</v>
      </c>
      <c r="N939" t="str">
        <f t="shared" si="43"/>
        <v>Robusta</v>
      </c>
      <c r="O939" t="str">
        <f t="shared" si="44"/>
        <v>Medium</v>
      </c>
      <c r="P939" t="str">
        <f>_xlfn.XLOOKUP(Table1[[#This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IF(_xlfn.XLOOKUP(C940,customers!$A$1:$A$1001,customers!C939:C1939,,0)=0,"",_xlfn.XLOOKUP(C940,customers!$A$1:$A$1001,customers!C939:C1939,,0))</f>
        <v/>
      </c>
      <c r="H940" s="2" t="str">
        <f>_xlfn.XLOOKUP(orders!C940,customers!$A$1:$A$1001,customers!$G$1:$G$1001,,0)</f>
        <v>United States</v>
      </c>
      <c r="I940" t="str">
        <f>INDEX(products!$A$1:$G$49,MATCH(orders!$D940, products!$A$1:$A$49,0), MATCH(orders!I$1,products!$A$1:$G$1,0))</f>
        <v>Exc</v>
      </c>
      <c r="J940" t="str">
        <f>INDEX(products!$A$1:$G$49,MATCH(orders!$D940, products!$A$1:$A$49,0), MATCH(orders!J$1,products!$A$1:$G$1,0))</f>
        <v>L</v>
      </c>
      <c r="K940" s="4">
        <f>INDEX(products!$A$1:$G$49,MATCH(orders!$D940, products!$A$1:$A$49,0), MATCH(orders!K$1,products!$A$1:$G$1,0))</f>
        <v>1</v>
      </c>
      <c r="L940" s="5">
        <f>INDEX(products!$A$1:$G$49,MATCH(orders!$D940, products!$A$1:$A$49,0), MATCH(orders!L$1,products!$A$1:$G$1,0))</f>
        <v>14.85</v>
      </c>
      <c r="M940" s="5">
        <f t="shared" si="42"/>
        <v>74.25</v>
      </c>
      <c r="N940" t="str">
        <f t="shared" si="43"/>
        <v>Excelsa</v>
      </c>
      <c r="O940" t="str">
        <f t="shared" si="44"/>
        <v>Light</v>
      </c>
      <c r="P940" t="str">
        <f>_xlfn.XLOOKUP(Table1[[#This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IF(_xlfn.XLOOKUP(C941,customers!$A$1:$A$1001,customers!C940:C1940,,0)=0,"",_xlfn.XLOOKUP(C941,customers!$A$1:$A$1001,customers!C940:C1940,,0))</f>
        <v/>
      </c>
      <c r="H941" s="2" t="str">
        <f>_xlfn.XLOOKUP(orders!C941,customers!$A$1:$A$1001,customers!$G$1:$G$1001,,0)</f>
        <v>United States</v>
      </c>
      <c r="I941" t="str">
        <f>INDEX(products!$A$1:$G$49,MATCH(orders!$D941, products!$A$1:$A$49,0), MATCH(orders!I$1,products!$A$1:$G$1,0))</f>
        <v>Lib</v>
      </c>
      <c r="J941" t="str">
        <f>INDEX(products!$A$1:$G$49,MATCH(orders!$D941, products!$A$1:$A$49,0), MATCH(orders!J$1,products!$A$1:$G$1,0))</f>
        <v>L</v>
      </c>
      <c r="K941" s="4">
        <f>INDEX(products!$A$1:$G$49,MATCH(orders!$D941, products!$A$1:$A$49,0), MATCH(orders!K$1,products!$A$1:$G$1,0))</f>
        <v>0.2</v>
      </c>
      <c r="L941" s="5">
        <f>INDEX(products!$A$1:$G$49,MATCH(orders!$D941, products!$A$1:$A$49,0), MATCH(orders!L$1,products!$A$1:$G$1,0))</f>
        <v>4.7549999999999999</v>
      </c>
      <c r="M941" s="5">
        <f t="shared" si="42"/>
        <v>28.53</v>
      </c>
      <c r="N941" t="str">
        <f t="shared" si="43"/>
        <v>Liberica</v>
      </c>
      <c r="O941" t="str">
        <f t="shared" si="44"/>
        <v>Light</v>
      </c>
      <c r="P941" t="str">
        <f>_xlfn.XLOOKUP(Table1[[#This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IF(_xlfn.XLOOKUP(C942,customers!$A$1:$A$1001,customers!C941:C1941,,0)=0,"",_xlfn.XLOOKUP(C942,customers!$A$1:$A$1001,customers!C941:C1941,,0))</f>
        <v/>
      </c>
      <c r="H942" s="2" t="str">
        <f>_xlfn.XLOOKUP(orders!C942,customers!$A$1:$A$1001,customers!$G$1:$G$1001,,0)</f>
        <v>United States</v>
      </c>
      <c r="I942" t="str">
        <f>INDEX(products!$A$1:$G$49,MATCH(orders!$D942, products!$A$1:$A$49,0), MATCH(orders!I$1,products!$A$1:$G$1,0))</f>
        <v>Rob</v>
      </c>
      <c r="J942" t="str">
        <f>INDEX(products!$A$1:$G$49,MATCH(orders!$D942, products!$A$1:$A$49,0), MATCH(orders!J$1,products!$A$1:$G$1,0))</f>
        <v>L</v>
      </c>
      <c r="K942" s="4">
        <f>INDEX(products!$A$1:$G$49,MATCH(orders!$D942, products!$A$1:$A$49,0), MATCH(orders!K$1,products!$A$1:$G$1,0))</f>
        <v>0.5</v>
      </c>
      <c r="L942" s="5">
        <f>INDEX(products!$A$1:$G$49,MATCH(orders!$D942, products!$A$1:$A$49,0), MATCH(orders!L$1,products!$A$1:$G$1,0))</f>
        <v>7.169999999999999</v>
      </c>
      <c r="M942" s="5">
        <f t="shared" si="42"/>
        <v>14.339999999999998</v>
      </c>
      <c r="N942" t="str">
        <f t="shared" si="43"/>
        <v>Robusta</v>
      </c>
      <c r="O942" t="str">
        <f t="shared" si="44"/>
        <v>Light</v>
      </c>
      <c r="P942" t="str">
        <f>_xlfn.XLOOKUP(Table1[[#This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IF(_xlfn.XLOOKUP(C943,customers!$A$1:$A$1001,customers!C942:C1942,,0)=0,"",_xlfn.XLOOKUP(C943,customers!$A$1:$A$1001,customers!C942:C1942,,0))</f>
        <v/>
      </c>
      <c r="H943" s="2" t="str">
        <f>_xlfn.XLOOKUP(orders!C943,customers!$A$1:$A$1001,customers!$G$1:$G$1001,,0)</f>
        <v>Ireland</v>
      </c>
      <c r="I943" t="str">
        <f>INDEX(products!$A$1:$G$49,MATCH(orders!$D943, products!$A$1:$A$49,0), MATCH(orders!I$1,products!$A$1:$G$1,0))</f>
        <v>Ara</v>
      </c>
      <c r="J943" t="str">
        <f>INDEX(products!$A$1:$G$49,MATCH(orders!$D943, products!$A$1:$A$49,0), MATCH(orders!J$1,products!$A$1:$G$1,0))</f>
        <v>L</v>
      </c>
      <c r="K943" s="4">
        <f>INDEX(products!$A$1:$G$49,MATCH(orders!$D943, products!$A$1:$A$49,0), MATCH(orders!K$1,products!$A$1:$G$1,0))</f>
        <v>0.5</v>
      </c>
      <c r="L943" s="5">
        <f>INDEX(products!$A$1:$G$49,MATCH(orders!$D943, products!$A$1:$A$49,0), MATCH(orders!L$1,products!$A$1:$G$1,0))</f>
        <v>7.77</v>
      </c>
      <c r="M943" s="5">
        <f t="shared" si="42"/>
        <v>15.54</v>
      </c>
      <c r="N943" t="str">
        <f t="shared" si="43"/>
        <v>Arabica</v>
      </c>
      <c r="O943" t="str">
        <f t="shared" si="44"/>
        <v>Light</v>
      </c>
      <c r="P943" t="str">
        <f>_xlfn.XLOOKUP(Table1[[#This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IF(_xlfn.XLOOKUP(C944,customers!$A$1:$A$1001,customers!C943:C1943,,0)=0,"",_xlfn.XLOOKUP(C944,customers!$A$1:$A$1001,customers!C943:C1943,,0))</f>
        <v/>
      </c>
      <c r="H944" s="2" t="str">
        <f>_xlfn.XLOOKUP(orders!C944,customers!$A$1:$A$1001,customers!$G$1:$G$1001,,0)</f>
        <v>United States</v>
      </c>
      <c r="I944" t="str">
        <f>INDEX(products!$A$1:$G$49,MATCH(orders!$D944, products!$A$1:$A$49,0), MATCH(orders!I$1,products!$A$1:$G$1,0))</f>
        <v>Rob</v>
      </c>
      <c r="J944" t="str">
        <f>INDEX(products!$A$1:$G$49,MATCH(orders!$D944, products!$A$1:$A$49,0), MATCH(orders!J$1,products!$A$1:$G$1,0))</f>
        <v>L</v>
      </c>
      <c r="K944" s="4">
        <f>INDEX(products!$A$1:$G$49,MATCH(orders!$D944, products!$A$1:$A$49,0), MATCH(orders!K$1,products!$A$1:$G$1,0))</f>
        <v>1</v>
      </c>
      <c r="L944" s="5">
        <f>INDEX(products!$A$1:$G$49,MATCH(orders!$D944, products!$A$1:$A$49,0), MATCH(orders!L$1,products!$A$1:$G$1,0))</f>
        <v>11.95</v>
      </c>
      <c r="M944" s="5">
        <f t="shared" si="42"/>
        <v>35.849999999999994</v>
      </c>
      <c r="N944" t="str">
        <f t="shared" si="43"/>
        <v>Robusta</v>
      </c>
      <c r="O944" t="str">
        <f t="shared" si="44"/>
        <v>Light</v>
      </c>
      <c r="P944" t="str">
        <f>_xlfn.XLOOKUP(Table1[[#This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IF(_xlfn.XLOOKUP(C945,customers!$A$1:$A$1001,customers!C944:C1944,,0)=0,"",_xlfn.XLOOKUP(C945,customers!$A$1:$A$1001,customers!C944:C1944,,0))</f>
        <v/>
      </c>
      <c r="H945" s="2" t="str">
        <f>_xlfn.XLOOKUP(orders!C945,customers!$A$1:$A$1001,customers!$G$1:$G$1001,,0)</f>
        <v>United States</v>
      </c>
      <c r="I945" t="str">
        <f>INDEX(products!$A$1:$G$49,MATCH(orders!$D945, products!$A$1:$A$49,0), MATCH(orders!I$1,products!$A$1:$G$1,0))</f>
        <v>Ara</v>
      </c>
      <c r="J945" t="str">
        <f>INDEX(products!$A$1:$G$49,MATCH(orders!$D945, products!$A$1:$A$49,0), MATCH(orders!J$1,products!$A$1:$G$1,0))</f>
        <v>L</v>
      </c>
      <c r="K945" s="4">
        <f>INDEX(products!$A$1:$G$49,MATCH(orders!$D945, products!$A$1:$A$49,0), MATCH(orders!K$1,products!$A$1:$G$1,0))</f>
        <v>0.5</v>
      </c>
      <c r="L945" s="5">
        <f>INDEX(products!$A$1:$G$49,MATCH(orders!$D945, products!$A$1:$A$49,0), MATCH(orders!L$1,products!$A$1:$G$1,0))</f>
        <v>7.77</v>
      </c>
      <c r="M945" s="5">
        <f t="shared" si="42"/>
        <v>46.62</v>
      </c>
      <c r="N945" t="str">
        <f t="shared" si="43"/>
        <v>Arabica</v>
      </c>
      <c r="O945" t="str">
        <f t="shared" si="44"/>
        <v>Light</v>
      </c>
      <c r="P945" t="str">
        <f>_xlfn.XLOOKUP(Table1[[#This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IF(_xlfn.XLOOKUP(C946,customers!$A$1:$A$1001,customers!C945:C1945,,0)=0,"",_xlfn.XLOOKUP(C946,customers!$A$1:$A$1001,customers!C945:C1945,,0))</f>
        <v/>
      </c>
      <c r="H946" s="2" t="str">
        <f>_xlfn.XLOOKUP(orders!C946,customers!$A$1:$A$1001,customers!$G$1:$G$1001,,0)</f>
        <v>United States</v>
      </c>
      <c r="I946" t="str">
        <f>INDEX(products!$A$1:$G$49,MATCH(orders!$D946, products!$A$1:$A$49,0), MATCH(orders!I$1,products!$A$1:$G$1,0))</f>
        <v>Rob</v>
      </c>
      <c r="J946" t="str">
        <f>INDEX(products!$A$1:$G$49,MATCH(orders!$D946, products!$A$1:$A$49,0), MATCH(orders!J$1,products!$A$1:$G$1,0))</f>
        <v>L</v>
      </c>
      <c r="K946" s="4">
        <f>INDEX(products!$A$1:$G$49,MATCH(orders!$D946, products!$A$1:$A$49,0), MATCH(orders!K$1,products!$A$1:$G$1,0))</f>
        <v>0.5</v>
      </c>
      <c r="L946" s="5">
        <f>INDEX(products!$A$1:$G$49,MATCH(orders!$D946, products!$A$1:$A$49,0), MATCH(orders!L$1,products!$A$1:$G$1,0))</f>
        <v>7.169999999999999</v>
      </c>
      <c r="M946" s="5">
        <f t="shared" si="42"/>
        <v>35.849999999999994</v>
      </c>
      <c r="N946" t="str">
        <f t="shared" si="43"/>
        <v>Robusta</v>
      </c>
      <c r="O946" t="str">
        <f t="shared" si="44"/>
        <v>Light</v>
      </c>
      <c r="P946" t="str">
        <f>_xlfn.XLOOKUP(Table1[[#This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IF(_xlfn.XLOOKUP(C947,customers!$A$1:$A$1001,customers!C946:C1946,,0)=0,"",_xlfn.XLOOKUP(C947,customers!$A$1:$A$1001,customers!C946:C1946,,0))</f>
        <v/>
      </c>
      <c r="H947" s="2" t="str">
        <f>_xlfn.XLOOKUP(orders!C947,customers!$A$1:$A$1001,customers!$G$1:$G$1001,,0)</f>
        <v>United States</v>
      </c>
      <c r="I947" t="str">
        <f>INDEX(products!$A$1:$G$49,MATCH(orders!$D947, products!$A$1:$A$49,0), MATCH(orders!I$1,products!$A$1:$G$1,0))</f>
        <v>Lib</v>
      </c>
      <c r="J947" t="str">
        <f>INDEX(products!$A$1:$G$49,MATCH(orders!$D947, products!$A$1:$A$49,0), MATCH(orders!J$1,products!$A$1:$G$1,0))</f>
        <v>D</v>
      </c>
      <c r="K947" s="4">
        <f>INDEX(products!$A$1:$G$49,MATCH(orders!$D947, products!$A$1:$A$49,0), MATCH(orders!K$1,products!$A$1:$G$1,0))</f>
        <v>2.5</v>
      </c>
      <c r="L947" s="5">
        <f>INDEX(products!$A$1:$G$49,MATCH(orders!$D947, products!$A$1:$A$49,0), MATCH(orders!L$1,products!$A$1:$G$1,0))</f>
        <v>29.784999999999997</v>
      </c>
      <c r="M947" s="5">
        <f t="shared" si="42"/>
        <v>119.13999999999999</v>
      </c>
      <c r="N947" t="str">
        <f t="shared" si="43"/>
        <v>Liberica</v>
      </c>
      <c r="O947" t="str">
        <f t="shared" si="44"/>
        <v>Dark</v>
      </c>
      <c r="P947" t="str">
        <f>_xlfn.XLOOKUP(Table1[[#This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IF(_xlfn.XLOOKUP(C948,customers!$A$1:$A$1001,customers!C947:C1947,,0)=0,"",_xlfn.XLOOKUP(C948,customers!$A$1:$A$1001,customers!C947:C1947,,0))</f>
        <v/>
      </c>
      <c r="H948" s="2" t="str">
        <f>_xlfn.XLOOKUP(orders!C948,customers!$A$1:$A$1001,customers!$G$1:$G$1001,,0)</f>
        <v>United States</v>
      </c>
      <c r="I948" t="str">
        <f>INDEX(products!$A$1:$G$49,MATCH(orders!$D948, products!$A$1:$A$49,0), MATCH(orders!I$1,products!$A$1:$G$1,0))</f>
        <v>Lib</v>
      </c>
      <c r="J948" t="str">
        <f>INDEX(products!$A$1:$G$49,MATCH(orders!$D948, products!$A$1:$A$49,0), MATCH(orders!J$1,products!$A$1:$G$1,0))</f>
        <v>D</v>
      </c>
      <c r="K948" s="4">
        <f>INDEX(products!$A$1:$G$49,MATCH(orders!$D948, products!$A$1:$A$49,0), MATCH(orders!K$1,products!$A$1:$G$1,0))</f>
        <v>0.5</v>
      </c>
      <c r="L948" s="5">
        <f>INDEX(products!$A$1:$G$49,MATCH(orders!$D948, products!$A$1:$A$49,0), MATCH(orders!L$1,products!$A$1:$G$1,0))</f>
        <v>7.77</v>
      </c>
      <c r="M948" s="5">
        <f t="shared" si="42"/>
        <v>23.31</v>
      </c>
      <c r="N948" t="str">
        <f t="shared" si="43"/>
        <v>Liberica</v>
      </c>
      <c r="O948" t="str">
        <f t="shared" si="44"/>
        <v>Dark</v>
      </c>
      <c r="P948" t="str">
        <f>_xlfn.XLOOKUP(Table1[[#This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IF(_xlfn.XLOOKUP(C949,customers!$A$1:$A$1001,customers!C948:C1948,,0)=0,"",_xlfn.XLOOKUP(C949,customers!$A$1:$A$1001,customers!C948:C1948,,0))</f>
        <v/>
      </c>
      <c r="H949" s="2" t="str">
        <f>_xlfn.XLOOKUP(orders!C949,customers!$A$1:$A$1001,customers!$G$1:$G$1001,,0)</f>
        <v>Ireland</v>
      </c>
      <c r="I949" t="str">
        <f>INDEX(products!$A$1:$G$49,MATCH(orders!$D949, products!$A$1:$A$49,0), MATCH(orders!I$1,products!$A$1:$G$1,0))</f>
        <v>Ara</v>
      </c>
      <c r="J949" t="str">
        <f>INDEX(products!$A$1:$G$49,MATCH(orders!$D949, products!$A$1:$A$49,0), MATCH(orders!J$1,products!$A$1:$G$1,0))</f>
        <v>M</v>
      </c>
      <c r="K949" s="4">
        <f>INDEX(products!$A$1:$G$49,MATCH(orders!$D949, products!$A$1:$A$49,0), MATCH(orders!K$1,products!$A$1:$G$1,0))</f>
        <v>1</v>
      </c>
      <c r="L949" s="5">
        <f>INDEX(products!$A$1:$G$49,MATCH(orders!$D949, products!$A$1:$A$49,0), MATCH(orders!L$1,products!$A$1:$G$1,0))</f>
        <v>11.25</v>
      </c>
      <c r="M949" s="5">
        <f t="shared" si="42"/>
        <v>11.25</v>
      </c>
      <c r="N949" t="str">
        <f t="shared" si="43"/>
        <v>Arabica</v>
      </c>
      <c r="O949" t="str">
        <f t="shared" si="44"/>
        <v>Medium</v>
      </c>
      <c r="P949" t="str">
        <f>_xlfn.XLOOKUP(Table1[[#This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IF(_xlfn.XLOOKUP(C950,customers!$A$1:$A$1001,customers!C949:C1949,,0)=0,"",_xlfn.XLOOKUP(C950,customers!$A$1:$A$1001,customers!C949:C1949,,0))</f>
        <v/>
      </c>
      <c r="H950" s="2" t="str">
        <f>_xlfn.XLOOKUP(orders!C950,customers!$A$1:$A$1001,customers!$G$1:$G$1001,,0)</f>
        <v>United Kingdom</v>
      </c>
      <c r="I950" t="str">
        <f>INDEX(products!$A$1:$G$49,MATCH(orders!$D950, products!$A$1:$A$49,0), MATCH(orders!I$1,products!$A$1:$G$1,0))</f>
        <v>Exc</v>
      </c>
      <c r="J950" t="str">
        <f>INDEX(products!$A$1:$G$49,MATCH(orders!$D950, products!$A$1:$A$49,0), MATCH(orders!J$1,products!$A$1:$G$1,0))</f>
        <v>D</v>
      </c>
      <c r="K950" s="4">
        <f>INDEX(products!$A$1:$G$49,MATCH(orders!$D950, products!$A$1:$A$49,0), MATCH(orders!K$1,products!$A$1:$G$1,0))</f>
        <v>2.5</v>
      </c>
      <c r="L950" s="5">
        <f>INDEX(products!$A$1:$G$49,MATCH(orders!$D950, products!$A$1:$A$49,0), MATCH(orders!L$1,products!$A$1:$G$1,0))</f>
        <v>27.945</v>
      </c>
      <c r="M950" s="5">
        <f t="shared" si="42"/>
        <v>83.835000000000008</v>
      </c>
      <c r="N950" t="str">
        <f t="shared" si="43"/>
        <v>Excelsa</v>
      </c>
      <c r="O950" t="str">
        <f t="shared" si="44"/>
        <v>Dark</v>
      </c>
      <c r="P950" t="str">
        <f>_xlfn.XLOOKUP(Table1[[#This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IF(_xlfn.XLOOKUP(C951,customers!$A$1:$A$1001,customers!C950:C1950,,0)=0,"",_xlfn.XLOOKUP(C951,customers!$A$1:$A$1001,customers!C950:C1950,,0))</f>
        <v/>
      </c>
      <c r="H951" s="2" t="str">
        <f>_xlfn.XLOOKUP(orders!C951,customers!$A$1:$A$1001,customers!$G$1:$G$1001,,0)</f>
        <v>Ireland</v>
      </c>
      <c r="I951" t="str">
        <f>INDEX(products!$A$1:$G$49,MATCH(orders!$D951, products!$A$1:$A$49,0), MATCH(orders!I$1,products!$A$1:$G$1,0))</f>
        <v>Rob</v>
      </c>
      <c r="J951" t="str">
        <f>INDEX(products!$A$1:$G$49,MATCH(orders!$D951, products!$A$1:$A$49,0), MATCH(orders!J$1,products!$A$1:$G$1,0))</f>
        <v>L</v>
      </c>
      <c r="K951" s="4">
        <f>INDEX(products!$A$1:$G$49,MATCH(orders!$D951, products!$A$1:$A$49,0), MATCH(orders!K$1,products!$A$1:$G$1,0))</f>
        <v>2.5</v>
      </c>
      <c r="L951" s="5">
        <f>INDEX(products!$A$1:$G$49,MATCH(orders!$D951, products!$A$1:$A$49,0), MATCH(orders!L$1,products!$A$1:$G$1,0))</f>
        <v>27.484999999999996</v>
      </c>
      <c r="M951" s="5">
        <f t="shared" si="42"/>
        <v>109.93999999999998</v>
      </c>
      <c r="N951" t="str">
        <f t="shared" si="43"/>
        <v>Robusta</v>
      </c>
      <c r="O951" t="str">
        <f t="shared" si="44"/>
        <v>Light</v>
      </c>
      <c r="P951" t="str">
        <f>_xlfn.XLOOKUP(Table1[[#This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IF(_xlfn.XLOOKUP(C952,customers!$A$1:$A$1001,customers!C951:C1951,,0)=0,"",_xlfn.XLOOKUP(C952,customers!$A$1:$A$1001,customers!C951:C1951,,0))</f>
        <v/>
      </c>
      <c r="H952" s="2" t="str">
        <f>_xlfn.XLOOKUP(orders!C952,customers!$A$1:$A$1001,customers!$G$1:$G$1001,,0)</f>
        <v>United States</v>
      </c>
      <c r="I952" t="str">
        <f>INDEX(products!$A$1:$G$49,MATCH(orders!$D952, products!$A$1:$A$49,0), MATCH(orders!I$1,products!$A$1:$G$1,0))</f>
        <v>Rob</v>
      </c>
      <c r="J952" t="str">
        <f>INDEX(products!$A$1:$G$49,MATCH(orders!$D952, products!$A$1:$A$49,0), MATCH(orders!J$1,products!$A$1:$G$1,0))</f>
        <v>L</v>
      </c>
      <c r="K952" s="4">
        <f>INDEX(products!$A$1:$G$49,MATCH(orders!$D952, products!$A$1:$A$49,0), MATCH(orders!K$1,products!$A$1:$G$1,0))</f>
        <v>0.2</v>
      </c>
      <c r="L952" s="5">
        <f>INDEX(products!$A$1:$G$49,MATCH(orders!$D952, products!$A$1:$A$49,0), MATCH(orders!L$1,products!$A$1:$G$1,0))</f>
        <v>3.5849999999999995</v>
      </c>
      <c r="M952" s="5">
        <f t="shared" si="42"/>
        <v>14.339999999999998</v>
      </c>
      <c r="N952" t="str">
        <f t="shared" si="43"/>
        <v>Robusta</v>
      </c>
      <c r="O952" t="str">
        <f t="shared" si="44"/>
        <v>Light</v>
      </c>
      <c r="P952" t="str">
        <f>_xlfn.XLOOKUP(Table1[[#This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IF(_xlfn.XLOOKUP(C953,customers!$A$1:$A$1001,customers!C952:C1952,,0)=0,"",_xlfn.XLOOKUP(C953,customers!$A$1:$A$1001,customers!C952:C1952,,0))</f>
        <v/>
      </c>
      <c r="H953" s="2" t="str">
        <f>_xlfn.XLOOKUP(orders!C953,customers!$A$1:$A$1001,customers!$G$1:$G$1001,,0)</f>
        <v>United States</v>
      </c>
      <c r="I953" t="str">
        <f>INDEX(products!$A$1:$G$49,MATCH(orders!$D953, products!$A$1:$A$49,0), MATCH(orders!I$1,products!$A$1:$G$1,0))</f>
        <v>Rob</v>
      </c>
      <c r="J953" t="str">
        <f>INDEX(products!$A$1:$G$49,MATCH(orders!$D953, products!$A$1:$A$49,0), MATCH(orders!J$1,products!$A$1:$G$1,0))</f>
        <v>L</v>
      </c>
      <c r="K953" s="4">
        <f>INDEX(products!$A$1:$G$49,MATCH(orders!$D953, products!$A$1:$A$49,0), MATCH(orders!K$1,products!$A$1:$G$1,0))</f>
        <v>0.2</v>
      </c>
      <c r="L953" s="5">
        <f>INDEX(products!$A$1:$G$49,MATCH(orders!$D953, products!$A$1:$A$49,0), MATCH(orders!L$1,products!$A$1:$G$1,0))</f>
        <v>3.5849999999999995</v>
      </c>
      <c r="M953" s="5">
        <f t="shared" si="42"/>
        <v>21.509999999999998</v>
      </c>
      <c r="N953" t="str">
        <f t="shared" si="43"/>
        <v>Robusta</v>
      </c>
      <c r="O953" t="str">
        <f t="shared" si="44"/>
        <v>Light</v>
      </c>
      <c r="P953" t="str">
        <f>_xlfn.XLOOKUP(Table1[[#This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IF(_xlfn.XLOOKUP(C954,customers!$A$1:$A$1001,customers!C953:C1953,,0)=0,"",_xlfn.XLOOKUP(C954,customers!$A$1:$A$1001,customers!C953:C1953,,0))</f>
        <v/>
      </c>
      <c r="H954" s="2" t="str">
        <f>_xlfn.XLOOKUP(orders!C954,customers!$A$1:$A$1001,customers!$G$1:$G$1001,,0)</f>
        <v>Ireland</v>
      </c>
      <c r="I954" t="str">
        <f>INDEX(products!$A$1:$G$49,MATCH(orders!$D954, products!$A$1:$A$49,0), MATCH(orders!I$1,products!$A$1:$G$1,0))</f>
        <v>Ara</v>
      </c>
      <c r="J954" t="str">
        <f>INDEX(products!$A$1:$G$49,MATCH(orders!$D954, products!$A$1:$A$49,0), MATCH(orders!J$1,products!$A$1:$G$1,0))</f>
        <v>M</v>
      </c>
      <c r="K954" s="4">
        <f>INDEX(products!$A$1:$G$49,MATCH(orders!$D954, products!$A$1:$A$49,0), MATCH(orders!K$1,products!$A$1:$G$1,0))</f>
        <v>1</v>
      </c>
      <c r="L954" s="5">
        <f>INDEX(products!$A$1:$G$49,MATCH(orders!$D954, products!$A$1:$A$49,0), MATCH(orders!L$1,products!$A$1:$G$1,0))</f>
        <v>11.25</v>
      </c>
      <c r="M954" s="5">
        <f t="shared" si="42"/>
        <v>22.5</v>
      </c>
      <c r="N954" t="str">
        <f t="shared" si="43"/>
        <v>Arabica</v>
      </c>
      <c r="O954" t="str">
        <f t="shared" si="44"/>
        <v>Medium</v>
      </c>
      <c r="P954" t="str">
        <f>_xlfn.XLOOKUP(Table1[[#This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IF(_xlfn.XLOOKUP(C955,customers!$A$1:$A$1001,customers!C954:C1954,,0)=0,"",_xlfn.XLOOKUP(C955,customers!$A$1:$A$1001,customers!C954:C1954,,0))</f>
        <v/>
      </c>
      <c r="H955" s="2" t="str">
        <f>_xlfn.XLOOKUP(orders!C955,customers!$A$1:$A$1001,customers!$G$1:$G$1001,,0)</f>
        <v>United States</v>
      </c>
      <c r="I955" t="str">
        <f>INDEX(products!$A$1:$G$49,MATCH(orders!$D955, products!$A$1:$A$49,0), MATCH(orders!I$1,products!$A$1:$G$1,0))</f>
        <v>Ara</v>
      </c>
      <c r="J955" t="str">
        <f>INDEX(products!$A$1:$G$49,MATCH(orders!$D955, products!$A$1:$A$49,0), MATCH(orders!J$1,products!$A$1:$G$1,0))</f>
        <v>L</v>
      </c>
      <c r="K955" s="4">
        <f>INDEX(products!$A$1:$G$49,MATCH(orders!$D955, products!$A$1:$A$49,0), MATCH(orders!K$1,products!$A$1:$G$1,0))</f>
        <v>0.2</v>
      </c>
      <c r="L955" s="5">
        <f>INDEX(products!$A$1:$G$49,MATCH(orders!$D955, products!$A$1:$A$49,0), MATCH(orders!L$1,products!$A$1:$G$1,0))</f>
        <v>3.8849999999999998</v>
      </c>
      <c r="M955" s="5">
        <f t="shared" si="42"/>
        <v>3.8849999999999998</v>
      </c>
      <c r="N955" t="str">
        <f t="shared" si="43"/>
        <v>Arabica</v>
      </c>
      <c r="O955" t="str">
        <f t="shared" si="44"/>
        <v>Light</v>
      </c>
      <c r="P955" t="str">
        <f>_xlfn.XLOOKUP(Table1[[#This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IF(_xlfn.XLOOKUP(C956,customers!$A$1:$A$1001,customers!C955:C1955,,0)=0,"",_xlfn.XLOOKUP(C956,customers!$A$1:$A$1001,customers!C955:C1955,,0))</f>
        <v/>
      </c>
      <c r="H956" s="2" t="str">
        <f>_xlfn.XLOOKUP(orders!C956,customers!$A$1:$A$1001,customers!$G$1:$G$1001,,0)</f>
        <v>United States</v>
      </c>
      <c r="I956" t="str">
        <f>INDEX(products!$A$1:$G$49,MATCH(orders!$D956, products!$A$1:$A$49,0), MATCH(orders!I$1,products!$A$1:$G$1,0))</f>
        <v>Exc</v>
      </c>
      <c r="J956" t="str">
        <f>INDEX(products!$A$1:$G$49,MATCH(orders!$D956, products!$A$1:$A$49,0), MATCH(orders!J$1,products!$A$1:$G$1,0))</f>
        <v>D</v>
      </c>
      <c r="K956" s="4">
        <f>INDEX(products!$A$1:$G$49,MATCH(orders!$D956, products!$A$1:$A$49,0), MATCH(orders!K$1,products!$A$1:$G$1,0))</f>
        <v>2.5</v>
      </c>
      <c r="L956" s="5">
        <f>INDEX(products!$A$1:$G$49,MATCH(orders!$D956, products!$A$1:$A$49,0), MATCH(orders!L$1,products!$A$1:$G$1,0))</f>
        <v>27.945</v>
      </c>
      <c r="M956" s="5">
        <f t="shared" si="42"/>
        <v>27.945</v>
      </c>
      <c r="N956" t="str">
        <f t="shared" si="43"/>
        <v>Excelsa</v>
      </c>
      <c r="O956" t="str">
        <f t="shared" si="44"/>
        <v>Dark</v>
      </c>
      <c r="P956" t="str">
        <f>_xlfn.XLOOKUP(Table1[[#This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IF(_xlfn.XLOOKUP(C957,customers!$A$1:$A$1001,customers!C956:C1956,,0)=0,"",_xlfn.XLOOKUP(C957,customers!$A$1:$A$1001,customers!C956:C1956,,0))</f>
        <v/>
      </c>
      <c r="H957" s="2" t="str">
        <f>_xlfn.XLOOKUP(orders!C957,customers!$A$1:$A$1001,customers!$G$1:$G$1001,,0)</f>
        <v>United States</v>
      </c>
      <c r="I957" t="str">
        <f>INDEX(products!$A$1:$G$49,MATCH(orders!$D957, products!$A$1:$A$49,0), MATCH(orders!I$1,products!$A$1:$G$1,0))</f>
        <v>Exc</v>
      </c>
      <c r="J957" t="str">
        <f>INDEX(products!$A$1:$G$49,MATCH(orders!$D957, products!$A$1:$A$49,0), MATCH(orders!J$1,products!$A$1:$G$1,0))</f>
        <v>L</v>
      </c>
      <c r="K957" s="4">
        <f>INDEX(products!$A$1:$G$49,MATCH(orders!$D957, products!$A$1:$A$49,0), MATCH(orders!K$1,products!$A$1:$G$1,0))</f>
        <v>2.5</v>
      </c>
      <c r="L957" s="5">
        <f>INDEX(products!$A$1:$G$49,MATCH(orders!$D957, products!$A$1:$A$49,0), MATCH(orders!L$1,products!$A$1:$G$1,0))</f>
        <v>34.154999999999994</v>
      </c>
      <c r="M957" s="5">
        <f t="shared" si="42"/>
        <v>170.77499999999998</v>
      </c>
      <c r="N957" t="str">
        <f t="shared" si="43"/>
        <v>Excelsa</v>
      </c>
      <c r="O957" t="str">
        <f t="shared" si="44"/>
        <v>Light</v>
      </c>
      <c r="P957" t="str">
        <f>_xlfn.XLOOKUP(Table1[[#This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IF(_xlfn.XLOOKUP(C958,customers!$A$1:$A$1001,customers!C957:C1957,,0)=0,"",_xlfn.XLOOKUP(C958,customers!$A$1:$A$1001,customers!C957:C1957,,0))</f>
        <v/>
      </c>
      <c r="H958" s="2" t="str">
        <f>_xlfn.XLOOKUP(orders!C958,customers!$A$1:$A$1001,customers!$G$1:$G$1001,,0)</f>
        <v>United States</v>
      </c>
      <c r="I958" t="str">
        <f>INDEX(products!$A$1:$G$49,MATCH(orders!$D958, products!$A$1:$A$49,0), MATCH(orders!I$1,products!$A$1:$G$1,0))</f>
        <v>Rob</v>
      </c>
      <c r="J958" t="str">
        <f>INDEX(products!$A$1:$G$49,MATCH(orders!$D958, products!$A$1:$A$49,0), MATCH(orders!J$1,products!$A$1:$G$1,0))</f>
        <v>L</v>
      </c>
      <c r="K958" s="4">
        <f>INDEX(products!$A$1:$G$49,MATCH(orders!$D958, products!$A$1:$A$49,0), MATCH(orders!K$1,products!$A$1:$G$1,0))</f>
        <v>2.5</v>
      </c>
      <c r="L958" s="5">
        <f>INDEX(products!$A$1:$G$49,MATCH(orders!$D958, products!$A$1:$A$49,0), MATCH(orders!L$1,products!$A$1:$G$1,0))</f>
        <v>27.484999999999996</v>
      </c>
      <c r="M958" s="5">
        <f t="shared" si="42"/>
        <v>54.969999999999992</v>
      </c>
      <c r="N958" t="str">
        <f t="shared" si="43"/>
        <v>Robusta</v>
      </c>
      <c r="O958" t="str">
        <f t="shared" si="44"/>
        <v>Light</v>
      </c>
      <c r="P958" t="str">
        <f>_xlfn.XLOOKUP(Table1[[#This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IF(_xlfn.XLOOKUP(C959,customers!$A$1:$A$1001,customers!C958:C1958,,0)=0,"",_xlfn.XLOOKUP(C959,customers!$A$1:$A$1001,customers!C958:C1958,,0))</f>
        <v/>
      </c>
      <c r="H959" s="2" t="str">
        <f>_xlfn.XLOOKUP(orders!C959,customers!$A$1:$A$1001,customers!$G$1:$G$1001,,0)</f>
        <v>United States</v>
      </c>
      <c r="I959" t="str">
        <f>INDEX(products!$A$1:$G$49,MATCH(orders!$D959, products!$A$1:$A$49,0), MATCH(orders!I$1,products!$A$1:$G$1,0))</f>
        <v>Exc</v>
      </c>
      <c r="J959" t="str">
        <f>INDEX(products!$A$1:$G$49,MATCH(orders!$D959, products!$A$1:$A$49,0), MATCH(orders!J$1,products!$A$1:$G$1,0))</f>
        <v>L</v>
      </c>
      <c r="K959" s="4">
        <f>INDEX(products!$A$1:$G$49,MATCH(orders!$D959, products!$A$1:$A$49,0), MATCH(orders!K$1,products!$A$1:$G$1,0))</f>
        <v>1</v>
      </c>
      <c r="L959" s="5">
        <f>INDEX(products!$A$1:$G$49,MATCH(orders!$D959, products!$A$1:$A$49,0), MATCH(orders!L$1,products!$A$1:$G$1,0))</f>
        <v>14.85</v>
      </c>
      <c r="M959" s="5">
        <f t="shared" si="42"/>
        <v>14.85</v>
      </c>
      <c r="N959" t="str">
        <f t="shared" si="43"/>
        <v>Excelsa</v>
      </c>
      <c r="O959" t="str">
        <f t="shared" si="44"/>
        <v>Light</v>
      </c>
      <c r="P959" t="str">
        <f>_xlfn.XLOOKUP(Table1[[#This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IF(_xlfn.XLOOKUP(C960,customers!$A$1:$A$1001,customers!C959:C1959,,0)=0,"",_xlfn.XLOOKUP(C960,customers!$A$1:$A$1001,customers!C959:C1959,,0))</f>
        <v/>
      </c>
      <c r="H960" s="2" t="str">
        <f>_xlfn.XLOOKUP(orders!C960,customers!$A$1:$A$1001,customers!$G$1:$G$1001,,0)</f>
        <v>United States</v>
      </c>
      <c r="I960" t="str">
        <f>INDEX(products!$A$1:$G$49,MATCH(orders!$D960, products!$A$1:$A$49,0), MATCH(orders!I$1,products!$A$1:$G$1,0))</f>
        <v>Ara</v>
      </c>
      <c r="J960" t="str">
        <f>INDEX(products!$A$1:$G$49,MATCH(orders!$D960, products!$A$1:$A$49,0), MATCH(orders!J$1,products!$A$1:$G$1,0))</f>
        <v>L</v>
      </c>
      <c r="K960" s="4">
        <f>INDEX(products!$A$1:$G$49,MATCH(orders!$D960, products!$A$1:$A$49,0), MATCH(orders!K$1,products!$A$1:$G$1,0))</f>
        <v>0.2</v>
      </c>
      <c r="L960" s="5">
        <f>INDEX(products!$A$1:$G$49,MATCH(orders!$D960, products!$A$1:$A$49,0), MATCH(orders!L$1,products!$A$1:$G$1,0))</f>
        <v>3.8849999999999998</v>
      </c>
      <c r="M960" s="5">
        <f t="shared" si="42"/>
        <v>7.77</v>
      </c>
      <c r="N960" t="str">
        <f t="shared" si="43"/>
        <v>Arabica</v>
      </c>
      <c r="O960" t="str">
        <f t="shared" si="44"/>
        <v>Light</v>
      </c>
      <c r="P960" t="str">
        <f>_xlfn.XLOOKUP(Table1[[#This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IF(_xlfn.XLOOKUP(C961,customers!$A$1:$A$1001,customers!C960:C1960,,0)=0,"",_xlfn.XLOOKUP(C961,customers!$A$1:$A$1001,customers!C960:C1960,,0))</f>
        <v/>
      </c>
      <c r="H961" s="2" t="str">
        <f>_xlfn.XLOOKUP(orders!C961,customers!$A$1:$A$1001,customers!$G$1:$G$1001,,0)</f>
        <v>United States</v>
      </c>
      <c r="I961" t="str">
        <f>INDEX(products!$A$1:$G$49,MATCH(orders!$D961, products!$A$1:$A$49,0), MATCH(orders!I$1,products!$A$1:$G$1,0))</f>
        <v>Lib</v>
      </c>
      <c r="J961" t="str">
        <f>INDEX(products!$A$1:$G$49,MATCH(orders!$D961, products!$A$1:$A$49,0), MATCH(orders!J$1,products!$A$1:$G$1,0))</f>
        <v>L</v>
      </c>
      <c r="K961" s="4">
        <f>INDEX(products!$A$1:$G$49,MATCH(orders!$D961, products!$A$1:$A$49,0), MATCH(orders!K$1,products!$A$1:$G$1,0))</f>
        <v>0.2</v>
      </c>
      <c r="L961" s="5">
        <f>INDEX(products!$A$1:$G$49,MATCH(orders!$D961, products!$A$1:$A$49,0), MATCH(orders!L$1,products!$A$1:$G$1,0))</f>
        <v>4.7549999999999999</v>
      </c>
      <c r="M961" s="5">
        <f t="shared" si="42"/>
        <v>23.774999999999999</v>
      </c>
      <c r="N961" t="str">
        <f t="shared" si="43"/>
        <v>Liberica</v>
      </c>
      <c r="O961" t="str">
        <f t="shared" si="44"/>
        <v>Light</v>
      </c>
      <c r="P961" t="str">
        <f>_xlfn.XLOOKUP(Table1[[#This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IF(_xlfn.XLOOKUP(C962,customers!$A$1:$A$1001,customers!C961:C1961,,0)=0,"",_xlfn.XLOOKUP(C962,customers!$A$1:$A$1001,customers!C961:C1961,,0))</f>
        <v/>
      </c>
      <c r="H962" s="2" t="str">
        <f>_xlfn.XLOOKUP(orders!C962,customers!$A$1:$A$1001,customers!$G$1:$G$1001,,0)</f>
        <v>United States</v>
      </c>
      <c r="I962" t="str">
        <f>INDEX(products!$A$1:$G$49,MATCH(orders!$D962, products!$A$1:$A$49,0), MATCH(orders!I$1,products!$A$1:$G$1,0))</f>
        <v>Lib</v>
      </c>
      <c r="J962" t="str">
        <f>INDEX(products!$A$1:$G$49,MATCH(orders!$D962, products!$A$1:$A$49,0), MATCH(orders!J$1,products!$A$1:$G$1,0))</f>
        <v>L</v>
      </c>
      <c r="K962" s="4">
        <f>INDEX(products!$A$1:$G$49,MATCH(orders!$D962, products!$A$1:$A$49,0), MATCH(orders!K$1,products!$A$1:$G$1,0))</f>
        <v>1</v>
      </c>
      <c r="L962" s="5">
        <f>INDEX(products!$A$1:$G$49,MATCH(orders!$D962, products!$A$1:$A$49,0), MATCH(orders!L$1,products!$A$1:$G$1,0))</f>
        <v>15.85</v>
      </c>
      <c r="M962" s="5">
        <f t="shared" si="42"/>
        <v>79.25</v>
      </c>
      <c r="N962" t="str">
        <f t="shared" si="43"/>
        <v>Liberica</v>
      </c>
      <c r="O962" t="str">
        <f t="shared" si="44"/>
        <v>Light</v>
      </c>
      <c r="P962" t="str">
        <f>_xlfn.XLOOKUP(Table1[[#This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IF(_xlfn.XLOOKUP(C963,customers!$A$1:$A$1001,customers!C962:C1962,,0)=0,"",_xlfn.XLOOKUP(C963,customers!$A$1:$A$1001,customers!C962:C1962,,0))</f>
        <v/>
      </c>
      <c r="H963" s="2" t="str">
        <f>_xlfn.XLOOKUP(orders!C963,customers!$A$1:$A$1001,customers!$G$1:$G$1001,,0)</f>
        <v>United States</v>
      </c>
      <c r="I963" t="str">
        <f>INDEX(products!$A$1:$G$49,MATCH(orders!$D963, products!$A$1:$A$49,0), MATCH(orders!I$1,products!$A$1:$G$1,0))</f>
        <v>Ara</v>
      </c>
      <c r="J963" t="str">
        <f>INDEX(products!$A$1:$G$49,MATCH(orders!$D963, products!$A$1:$A$49,0), MATCH(orders!J$1,products!$A$1:$G$1,0))</f>
        <v>D</v>
      </c>
      <c r="K963" s="4">
        <f>INDEX(products!$A$1:$G$49,MATCH(orders!$D963, products!$A$1:$A$49,0), MATCH(orders!K$1,products!$A$1:$G$1,0))</f>
        <v>2.5</v>
      </c>
      <c r="L963" s="5">
        <f>INDEX(products!$A$1:$G$49,MATCH(orders!$D963, products!$A$1:$A$49,0), MATCH(orders!L$1,products!$A$1:$G$1,0))</f>
        <v>22.884999999999998</v>
      </c>
      <c r="M963" s="5">
        <f t="shared" ref="M963:M1001" si="45">L963*E963</f>
        <v>45.769999999999996</v>
      </c>
      <c r="N963" t="str">
        <f t="shared" ref="N963:N1001" si="46">IF(I963="Rob","Robusta",IF(I963="Exc", "Excelsa", IF(I963="Ara","Arabica", IF(I963="lib","Liberica",""))))</f>
        <v>Arabica</v>
      </c>
      <c r="O963" t="str">
        <f t="shared" ref="O963:O1001" si="47">IF(J963="M","Medium",IF(J963="L","Light",IF(J963="D","Dark", "")))</f>
        <v>Dark</v>
      </c>
      <c r="P963" t="str">
        <f>_xlfn.XLOOKUP(Table1[[#This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IF(_xlfn.XLOOKUP(C964,customers!$A$1:$A$1001,customers!C963:C1963,,0)=0,"",_xlfn.XLOOKUP(C964,customers!$A$1:$A$1001,customers!C963:C1963,,0))</f>
        <v/>
      </c>
      <c r="H964" s="2" t="str">
        <f>_xlfn.XLOOKUP(orders!C964,customers!$A$1:$A$1001,customers!$G$1:$G$1001,,0)</f>
        <v>Ireland</v>
      </c>
      <c r="I964" t="str">
        <f>INDEX(products!$A$1:$G$49,MATCH(orders!$D964, products!$A$1:$A$49,0), MATCH(orders!I$1,products!$A$1:$G$1,0))</f>
        <v>Rob</v>
      </c>
      <c r="J964" t="str">
        <f>INDEX(products!$A$1:$G$49,MATCH(orders!$D964, products!$A$1:$A$49,0), MATCH(orders!J$1,products!$A$1:$G$1,0))</f>
        <v>D</v>
      </c>
      <c r="K964" s="4">
        <f>INDEX(products!$A$1:$G$49,MATCH(orders!$D964, products!$A$1:$A$49,0), MATCH(orders!K$1,products!$A$1:$G$1,0))</f>
        <v>1</v>
      </c>
      <c r="L964" s="5">
        <f>INDEX(products!$A$1:$G$49,MATCH(orders!$D964, products!$A$1:$A$49,0), MATCH(orders!L$1,products!$A$1:$G$1,0))</f>
        <v>8.9499999999999993</v>
      </c>
      <c r="M964" s="5">
        <f t="shared" si="45"/>
        <v>8.9499999999999993</v>
      </c>
      <c r="N964" t="str">
        <f t="shared" si="46"/>
        <v>Robusta</v>
      </c>
      <c r="O964" t="str">
        <f t="shared" si="47"/>
        <v>Dark</v>
      </c>
      <c r="P964" t="str">
        <f>_xlfn.XLOOKUP(Table1[[#This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IF(_xlfn.XLOOKUP(C965,customers!$A$1:$A$1001,customers!C964:C1964,,0)=0,"",_xlfn.XLOOKUP(C965,customers!$A$1:$A$1001,customers!C964:C1964,,0))</f>
        <v/>
      </c>
      <c r="H965" s="2" t="str">
        <f>_xlfn.XLOOKUP(orders!C965,customers!$A$1:$A$1001,customers!$G$1:$G$1001,,0)</f>
        <v>United States</v>
      </c>
      <c r="I965" t="str">
        <f>INDEX(products!$A$1:$G$49,MATCH(orders!$D965, products!$A$1:$A$49,0), MATCH(orders!I$1,products!$A$1:$G$1,0))</f>
        <v>Rob</v>
      </c>
      <c r="J965" t="str">
        <f>INDEX(products!$A$1:$G$49,MATCH(orders!$D965, products!$A$1:$A$49,0), MATCH(orders!J$1,products!$A$1:$G$1,0))</f>
        <v>M</v>
      </c>
      <c r="K965" s="4">
        <f>INDEX(products!$A$1:$G$49,MATCH(orders!$D965, products!$A$1:$A$49,0), MATCH(orders!K$1,products!$A$1:$G$1,0))</f>
        <v>0.5</v>
      </c>
      <c r="L965" s="5">
        <f>INDEX(products!$A$1:$G$49,MATCH(orders!$D965, products!$A$1:$A$49,0), MATCH(orders!L$1,products!$A$1:$G$1,0))</f>
        <v>5.97</v>
      </c>
      <c r="M965" s="5">
        <f t="shared" si="45"/>
        <v>23.88</v>
      </c>
      <c r="N965" t="str">
        <f t="shared" si="46"/>
        <v>Robusta</v>
      </c>
      <c r="O965" t="str">
        <f t="shared" si="47"/>
        <v>Medium</v>
      </c>
      <c r="P965" t="str">
        <f>_xlfn.XLOOKUP(Table1[[#This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IF(_xlfn.XLOOKUP(C966,customers!$A$1:$A$1001,customers!C965:C1965,,0)=0,"",_xlfn.XLOOKUP(C966,customers!$A$1:$A$1001,customers!C965:C1965,,0))</f>
        <v/>
      </c>
      <c r="H966" s="2" t="str">
        <f>_xlfn.XLOOKUP(orders!C966,customers!$A$1:$A$1001,customers!$G$1:$G$1001,,0)</f>
        <v>United States</v>
      </c>
      <c r="I966" t="str">
        <f>INDEX(products!$A$1:$G$49,MATCH(orders!$D966, products!$A$1:$A$49,0), MATCH(orders!I$1,products!$A$1:$G$1,0))</f>
        <v>Exc</v>
      </c>
      <c r="J966" t="str">
        <f>INDEX(products!$A$1:$G$49,MATCH(orders!$D966, products!$A$1:$A$49,0), MATCH(orders!J$1,products!$A$1:$G$1,0))</f>
        <v>L</v>
      </c>
      <c r="K966" s="4">
        <f>INDEX(products!$A$1:$G$49,MATCH(orders!$D966, products!$A$1:$A$49,0), MATCH(orders!K$1,products!$A$1:$G$1,0))</f>
        <v>0.2</v>
      </c>
      <c r="L966" s="5">
        <f>INDEX(products!$A$1:$G$49,MATCH(orders!$D966, products!$A$1:$A$49,0), MATCH(orders!L$1,products!$A$1:$G$1,0))</f>
        <v>4.4550000000000001</v>
      </c>
      <c r="M966" s="5">
        <f t="shared" si="45"/>
        <v>22.274999999999999</v>
      </c>
      <c r="N966" t="str">
        <f t="shared" si="46"/>
        <v>Excelsa</v>
      </c>
      <c r="O966" t="str">
        <f t="shared" si="47"/>
        <v>Light</v>
      </c>
      <c r="P966" t="str">
        <f>_xlfn.XLOOKUP(Table1[[#This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IF(_xlfn.XLOOKUP(C967,customers!$A$1:$A$1001,customers!C966:C1966,,0)=0,"",_xlfn.XLOOKUP(C967,customers!$A$1:$A$1001,customers!C966:C1966,,0))</f>
        <v/>
      </c>
      <c r="H967" s="2" t="str">
        <f>_xlfn.XLOOKUP(orders!C967,customers!$A$1:$A$1001,customers!$G$1:$G$1001,,0)</f>
        <v>United States</v>
      </c>
      <c r="I967" t="str">
        <f>INDEX(products!$A$1:$G$49,MATCH(orders!$D967, products!$A$1:$A$49,0), MATCH(orders!I$1,products!$A$1:$G$1,0))</f>
        <v>Rob</v>
      </c>
      <c r="J967" t="str">
        <f>INDEX(products!$A$1:$G$49,MATCH(orders!$D967, products!$A$1:$A$49,0), MATCH(orders!J$1,products!$A$1:$G$1,0))</f>
        <v>M</v>
      </c>
      <c r="K967" s="4">
        <f>INDEX(products!$A$1:$G$49,MATCH(orders!$D967, products!$A$1:$A$49,0), MATCH(orders!K$1,products!$A$1:$G$1,0))</f>
        <v>1</v>
      </c>
      <c r="L967" s="5">
        <f>INDEX(products!$A$1:$G$49,MATCH(orders!$D967, products!$A$1:$A$49,0), MATCH(orders!L$1,products!$A$1:$G$1,0))</f>
        <v>9.9499999999999993</v>
      </c>
      <c r="M967" s="5">
        <f t="shared" si="45"/>
        <v>29.849999999999998</v>
      </c>
      <c r="N967" t="str">
        <f t="shared" si="46"/>
        <v>Robusta</v>
      </c>
      <c r="O967" t="str">
        <f t="shared" si="47"/>
        <v>Medium</v>
      </c>
      <c r="P967" t="str">
        <f>_xlfn.XLOOKUP(Table1[[#This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IF(_xlfn.XLOOKUP(C968,customers!$A$1:$A$1001,customers!C967:C1967,,0)=0,"",_xlfn.XLOOKUP(C968,customers!$A$1:$A$1001,customers!C967:C1967,,0))</f>
        <v/>
      </c>
      <c r="H968" s="2" t="str">
        <f>_xlfn.XLOOKUP(orders!C968,customers!$A$1:$A$1001,customers!$G$1:$G$1001,,0)</f>
        <v>United States</v>
      </c>
      <c r="I968" t="str">
        <f>INDEX(products!$A$1:$G$49,MATCH(orders!$D968, products!$A$1:$A$49,0), MATCH(orders!I$1,products!$A$1:$G$1,0))</f>
        <v>Exc</v>
      </c>
      <c r="J968" t="str">
        <f>INDEX(products!$A$1:$G$49,MATCH(orders!$D968, products!$A$1:$A$49,0), MATCH(orders!J$1,products!$A$1:$G$1,0))</f>
        <v>L</v>
      </c>
      <c r="K968" s="4">
        <f>INDEX(products!$A$1:$G$49,MATCH(orders!$D968, products!$A$1:$A$49,0), MATCH(orders!K$1,products!$A$1:$G$1,0))</f>
        <v>0.5</v>
      </c>
      <c r="L968" s="5">
        <f>INDEX(products!$A$1:$G$49,MATCH(orders!$D968, products!$A$1:$A$49,0), MATCH(orders!L$1,products!$A$1:$G$1,0))</f>
        <v>8.91</v>
      </c>
      <c r="M968" s="5">
        <f t="shared" si="45"/>
        <v>53.46</v>
      </c>
      <c r="N968" t="str">
        <f t="shared" si="46"/>
        <v>Excelsa</v>
      </c>
      <c r="O968" t="str">
        <f t="shared" si="47"/>
        <v>Light</v>
      </c>
      <c r="P968" t="str">
        <f>_xlfn.XLOOKUP(Table1[[#This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IF(_xlfn.XLOOKUP(C969,customers!$A$1:$A$1001,customers!C968:C1968,,0)=0,"",_xlfn.XLOOKUP(C969,customers!$A$1:$A$1001,customers!C968:C1968,,0))</f>
        <v/>
      </c>
      <c r="H969" s="2" t="str">
        <f>_xlfn.XLOOKUP(orders!C969,customers!$A$1:$A$1001,customers!$G$1:$G$1001,,0)</f>
        <v>Ireland</v>
      </c>
      <c r="I969" t="str">
        <f>INDEX(products!$A$1:$G$49,MATCH(orders!$D969, products!$A$1:$A$49,0), MATCH(orders!I$1,products!$A$1:$G$1,0))</f>
        <v>Rob</v>
      </c>
      <c r="J969" t="str">
        <f>INDEX(products!$A$1:$G$49,MATCH(orders!$D969, products!$A$1:$A$49,0), MATCH(orders!J$1,products!$A$1:$G$1,0))</f>
        <v>D</v>
      </c>
      <c r="K969" s="4">
        <f>INDEX(products!$A$1:$G$49,MATCH(orders!$D969, products!$A$1:$A$49,0), MATCH(orders!K$1,products!$A$1:$G$1,0))</f>
        <v>0.2</v>
      </c>
      <c r="L969" s="5">
        <f>INDEX(products!$A$1:$G$49,MATCH(orders!$D969, products!$A$1:$A$49,0), MATCH(orders!L$1,products!$A$1:$G$1,0))</f>
        <v>2.6849999999999996</v>
      </c>
      <c r="M969" s="5">
        <f t="shared" si="45"/>
        <v>2.6849999999999996</v>
      </c>
      <c r="N969" t="str">
        <f t="shared" si="46"/>
        <v>Robusta</v>
      </c>
      <c r="O969" t="str">
        <f t="shared" si="47"/>
        <v>Dark</v>
      </c>
      <c r="P969" t="str">
        <f>_xlfn.XLOOKUP(Table1[[#This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IF(_xlfn.XLOOKUP(C970,customers!$A$1:$A$1001,customers!C969:C1969,,0)=0,"",_xlfn.XLOOKUP(C970,customers!$A$1:$A$1001,customers!C969:C1969,,0))</f>
        <v/>
      </c>
      <c r="H970" s="2" t="str">
        <f>_xlfn.XLOOKUP(orders!C970,customers!$A$1:$A$1001,customers!$G$1:$G$1001,,0)</f>
        <v>United States</v>
      </c>
      <c r="I970" t="str">
        <f>INDEX(products!$A$1:$G$49,MATCH(orders!$D970, products!$A$1:$A$49,0), MATCH(orders!I$1,products!$A$1:$G$1,0))</f>
        <v>Rob</v>
      </c>
      <c r="J970" t="str">
        <f>INDEX(products!$A$1:$G$49,MATCH(orders!$D970, products!$A$1:$A$49,0), MATCH(orders!J$1,products!$A$1:$G$1,0))</f>
        <v>M</v>
      </c>
      <c r="K970" s="4">
        <f>INDEX(products!$A$1:$G$49,MATCH(orders!$D970, products!$A$1:$A$49,0), MATCH(orders!K$1,products!$A$1:$G$1,0))</f>
        <v>0.2</v>
      </c>
      <c r="L970" s="5">
        <f>INDEX(products!$A$1:$G$49,MATCH(orders!$D970, products!$A$1:$A$49,0), MATCH(orders!L$1,products!$A$1:$G$1,0))</f>
        <v>2.9849999999999999</v>
      </c>
      <c r="M970" s="5">
        <f t="shared" si="45"/>
        <v>5.97</v>
      </c>
      <c r="N970" t="str">
        <f t="shared" si="46"/>
        <v>Robusta</v>
      </c>
      <c r="O970" t="str">
        <f t="shared" si="47"/>
        <v>Medium</v>
      </c>
      <c r="P970" t="str">
        <f>_xlfn.XLOOKUP(Table1[[#This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IF(_xlfn.XLOOKUP(C971,customers!$A$1:$A$1001,customers!C970:C1970,,0)=0,"",_xlfn.XLOOKUP(C971,customers!$A$1:$A$1001,customers!C970:C1970,,0))</f>
        <v/>
      </c>
      <c r="H971" s="2" t="str">
        <f>_xlfn.XLOOKUP(orders!C971,customers!$A$1:$A$1001,customers!$G$1:$G$1001,,0)</f>
        <v>United States</v>
      </c>
      <c r="I971" t="str">
        <f>INDEX(products!$A$1:$G$49,MATCH(orders!$D971, products!$A$1:$A$49,0), MATCH(orders!I$1,products!$A$1:$G$1,0))</f>
        <v>Lib</v>
      </c>
      <c r="J971" t="str">
        <f>INDEX(products!$A$1:$G$49,MATCH(orders!$D971, products!$A$1:$A$49,0), MATCH(orders!J$1,products!$A$1:$G$1,0))</f>
        <v>D</v>
      </c>
      <c r="K971" s="4">
        <f>INDEX(products!$A$1:$G$49,MATCH(orders!$D971, products!$A$1:$A$49,0), MATCH(orders!K$1,products!$A$1:$G$1,0))</f>
        <v>1</v>
      </c>
      <c r="L971" s="5">
        <f>INDEX(products!$A$1:$G$49,MATCH(orders!$D971, products!$A$1:$A$49,0), MATCH(orders!L$1,products!$A$1:$G$1,0))</f>
        <v>12.95</v>
      </c>
      <c r="M971" s="5">
        <f t="shared" si="45"/>
        <v>12.95</v>
      </c>
      <c r="N971" t="str">
        <f t="shared" si="46"/>
        <v>Liberica</v>
      </c>
      <c r="O971" t="str">
        <f t="shared" si="47"/>
        <v>Dark</v>
      </c>
      <c r="P971" t="str">
        <f>_xlfn.XLOOKUP(Table1[[#This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IF(_xlfn.XLOOKUP(C972,customers!$A$1:$A$1001,customers!C971:C1971,,0)=0,"",_xlfn.XLOOKUP(C972,customers!$A$1:$A$1001,customers!C971:C1971,,0))</f>
        <v/>
      </c>
      <c r="H972" s="2" t="str">
        <f>_xlfn.XLOOKUP(orders!C972,customers!$A$1:$A$1001,customers!$G$1:$G$1001,,0)</f>
        <v>United States</v>
      </c>
      <c r="I972" t="str">
        <f>INDEX(products!$A$1:$G$49,MATCH(orders!$D972, products!$A$1:$A$49,0), MATCH(orders!I$1,products!$A$1:$G$1,0))</f>
        <v>Exc</v>
      </c>
      <c r="J972" t="str">
        <f>INDEX(products!$A$1:$G$49,MATCH(orders!$D972, products!$A$1:$A$49,0), MATCH(orders!J$1,products!$A$1:$G$1,0))</f>
        <v>M</v>
      </c>
      <c r="K972" s="4">
        <f>INDEX(products!$A$1:$G$49,MATCH(orders!$D972, products!$A$1:$A$49,0), MATCH(orders!K$1,products!$A$1:$G$1,0))</f>
        <v>0.5</v>
      </c>
      <c r="L972" s="5">
        <f>INDEX(products!$A$1:$G$49,MATCH(orders!$D972, products!$A$1:$A$49,0), MATCH(orders!L$1,products!$A$1:$G$1,0))</f>
        <v>8.25</v>
      </c>
      <c r="M972" s="5">
        <f t="shared" si="45"/>
        <v>8.25</v>
      </c>
      <c r="N972" t="str">
        <f t="shared" si="46"/>
        <v>Excelsa</v>
      </c>
      <c r="O972" t="str">
        <f t="shared" si="47"/>
        <v>Medium</v>
      </c>
      <c r="P972" t="str">
        <f>_xlfn.XLOOKUP(Table1[[#This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IF(_xlfn.XLOOKUP(C973,customers!$A$1:$A$1001,customers!C972:C1972,,0)=0,"",_xlfn.XLOOKUP(C973,customers!$A$1:$A$1001,customers!C972:C1972,,0))</f>
        <v/>
      </c>
      <c r="H973" s="2" t="str">
        <f>_xlfn.XLOOKUP(orders!C973,customers!$A$1:$A$1001,customers!$G$1:$G$1001,,0)</f>
        <v>United States</v>
      </c>
      <c r="I973" t="str">
        <f>INDEX(products!$A$1:$G$49,MATCH(orders!$D973, products!$A$1:$A$49,0), MATCH(orders!I$1,products!$A$1:$G$1,0))</f>
        <v>Ara</v>
      </c>
      <c r="J973" t="str">
        <f>INDEX(products!$A$1:$G$49,MATCH(orders!$D973, products!$A$1:$A$49,0), MATCH(orders!J$1,products!$A$1:$G$1,0))</f>
        <v>L</v>
      </c>
      <c r="K973" s="4">
        <f>INDEX(products!$A$1:$G$49,MATCH(orders!$D973, products!$A$1:$A$49,0), MATCH(orders!K$1,products!$A$1:$G$1,0))</f>
        <v>2.5</v>
      </c>
      <c r="L973" s="5">
        <f>INDEX(products!$A$1:$G$49,MATCH(orders!$D973, products!$A$1:$A$49,0), MATCH(orders!L$1,products!$A$1:$G$1,0))</f>
        <v>29.784999999999997</v>
      </c>
      <c r="M973" s="5">
        <f t="shared" si="45"/>
        <v>148.92499999999998</v>
      </c>
      <c r="N973" t="str">
        <f t="shared" si="46"/>
        <v>Arabica</v>
      </c>
      <c r="O973" t="str">
        <f t="shared" si="47"/>
        <v>Light</v>
      </c>
      <c r="P973" t="str">
        <f>_xlfn.XLOOKUP(Table1[[#This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IF(_xlfn.XLOOKUP(C974,customers!$A$1:$A$1001,customers!C973:C1973,,0)=0,"",_xlfn.XLOOKUP(C974,customers!$A$1:$A$1001,customers!C973:C1973,,0))</f>
        <v/>
      </c>
      <c r="H974" s="2" t="str">
        <f>_xlfn.XLOOKUP(orders!C974,customers!$A$1:$A$1001,customers!$G$1:$G$1001,,0)</f>
        <v>Ireland</v>
      </c>
      <c r="I974" t="str">
        <f>INDEX(products!$A$1:$G$49,MATCH(orders!$D974, products!$A$1:$A$49,0), MATCH(orders!I$1,products!$A$1:$G$1,0))</f>
        <v>Ara</v>
      </c>
      <c r="J974" t="str">
        <f>INDEX(products!$A$1:$G$49,MATCH(orders!$D974, products!$A$1:$A$49,0), MATCH(orders!J$1,products!$A$1:$G$1,0))</f>
        <v>L</v>
      </c>
      <c r="K974" s="4">
        <f>INDEX(products!$A$1:$G$49,MATCH(orders!$D974, products!$A$1:$A$49,0), MATCH(orders!K$1,products!$A$1:$G$1,0))</f>
        <v>2.5</v>
      </c>
      <c r="L974" s="5">
        <f>INDEX(products!$A$1:$G$49,MATCH(orders!$D974, products!$A$1:$A$49,0), MATCH(orders!L$1,products!$A$1:$G$1,0))</f>
        <v>29.784999999999997</v>
      </c>
      <c r="M974" s="5">
        <f t="shared" si="45"/>
        <v>89.35499999999999</v>
      </c>
      <c r="N974" t="str">
        <f t="shared" si="46"/>
        <v>Arabica</v>
      </c>
      <c r="O974" t="str">
        <f t="shared" si="47"/>
        <v>Light</v>
      </c>
      <c r="P974" t="str">
        <f>_xlfn.XLOOKUP(Table1[[#This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IF(_xlfn.XLOOKUP(C975,customers!$A$1:$A$1001,customers!C974:C1974,,0)=0,"",_xlfn.XLOOKUP(C975,customers!$A$1:$A$1001,customers!C974:C1974,,0))</f>
        <v/>
      </c>
      <c r="H975" s="2" t="str">
        <f>_xlfn.XLOOKUP(orders!C975,customers!$A$1:$A$1001,customers!$G$1:$G$1001,,0)</f>
        <v>United States</v>
      </c>
      <c r="I975" t="str">
        <f>INDEX(products!$A$1:$G$49,MATCH(orders!$D975, products!$A$1:$A$49,0), MATCH(orders!I$1,products!$A$1:$G$1,0))</f>
        <v>Lib</v>
      </c>
      <c r="J975" t="str">
        <f>INDEX(products!$A$1:$G$49,MATCH(orders!$D975, products!$A$1:$A$49,0), MATCH(orders!J$1,products!$A$1:$G$1,0))</f>
        <v>M</v>
      </c>
      <c r="K975" s="4">
        <f>INDEX(products!$A$1:$G$49,MATCH(orders!$D975, products!$A$1:$A$49,0), MATCH(orders!K$1,products!$A$1:$G$1,0))</f>
        <v>1</v>
      </c>
      <c r="L975" s="5">
        <f>INDEX(products!$A$1:$G$49,MATCH(orders!$D975, products!$A$1:$A$49,0), MATCH(orders!L$1,products!$A$1:$G$1,0))</f>
        <v>14.55</v>
      </c>
      <c r="M975" s="5">
        <f t="shared" si="45"/>
        <v>87.300000000000011</v>
      </c>
      <c r="N975" t="str">
        <f t="shared" si="46"/>
        <v>Liberica</v>
      </c>
      <c r="O975" t="str">
        <f t="shared" si="47"/>
        <v>Medium</v>
      </c>
      <c r="P975" t="str">
        <f>_xlfn.XLOOKUP(Table1[[#This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IF(_xlfn.XLOOKUP(C976,customers!$A$1:$A$1001,customers!C975:C1975,,0)=0,"",_xlfn.XLOOKUP(C976,customers!$A$1:$A$1001,customers!C975:C1975,,0))</f>
        <v/>
      </c>
      <c r="H976" s="2" t="str">
        <f>_xlfn.XLOOKUP(orders!C976,customers!$A$1:$A$1001,customers!$G$1:$G$1001,,0)</f>
        <v>United States</v>
      </c>
      <c r="I976" t="str">
        <f>INDEX(products!$A$1:$G$49,MATCH(orders!$D976, products!$A$1:$A$49,0), MATCH(orders!I$1,products!$A$1:$G$1,0))</f>
        <v>Rob</v>
      </c>
      <c r="J976" t="str">
        <f>INDEX(products!$A$1:$G$49,MATCH(orders!$D976, products!$A$1:$A$49,0), MATCH(orders!J$1,products!$A$1:$G$1,0))</f>
        <v>D</v>
      </c>
      <c r="K976" s="4">
        <f>INDEX(products!$A$1:$G$49,MATCH(orders!$D976, products!$A$1:$A$49,0), MATCH(orders!K$1,products!$A$1:$G$1,0))</f>
        <v>0.5</v>
      </c>
      <c r="L976" s="5">
        <f>INDEX(products!$A$1:$G$49,MATCH(orders!$D976, products!$A$1:$A$49,0), MATCH(orders!L$1,products!$A$1:$G$1,0))</f>
        <v>5.3699999999999992</v>
      </c>
      <c r="M976" s="5">
        <f t="shared" si="45"/>
        <v>5.3699999999999992</v>
      </c>
      <c r="N976" t="str">
        <f t="shared" si="46"/>
        <v>Robusta</v>
      </c>
      <c r="O976" t="str">
        <f t="shared" si="47"/>
        <v>Dark</v>
      </c>
      <c r="P976" t="str">
        <f>_xlfn.XLOOKUP(Table1[[#This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IF(_xlfn.XLOOKUP(C977,customers!$A$1:$A$1001,customers!C976:C1976,,0)=0,"",_xlfn.XLOOKUP(C977,customers!$A$1:$A$1001,customers!C976:C1976,,0))</f>
        <v/>
      </c>
      <c r="H977" s="2" t="str">
        <f>_xlfn.XLOOKUP(orders!C977,customers!$A$1:$A$1001,customers!$G$1:$G$1001,,0)</f>
        <v>Ireland</v>
      </c>
      <c r="I977" t="str">
        <f>INDEX(products!$A$1:$G$49,MATCH(orders!$D977, products!$A$1:$A$49,0), MATCH(orders!I$1,products!$A$1:$G$1,0))</f>
        <v>Ara</v>
      </c>
      <c r="J977" t="str">
        <f>INDEX(products!$A$1:$G$49,MATCH(orders!$D977, products!$A$1:$A$49,0), MATCH(orders!J$1,products!$A$1:$G$1,0))</f>
        <v>D</v>
      </c>
      <c r="K977" s="4">
        <f>INDEX(products!$A$1:$G$49,MATCH(orders!$D977, products!$A$1:$A$49,0), MATCH(orders!K$1,products!$A$1:$G$1,0))</f>
        <v>0.2</v>
      </c>
      <c r="L977" s="5">
        <f>INDEX(products!$A$1:$G$49,MATCH(orders!$D977, products!$A$1:$A$49,0), MATCH(orders!L$1,products!$A$1:$G$1,0))</f>
        <v>2.9849999999999999</v>
      </c>
      <c r="M977" s="5">
        <f t="shared" si="45"/>
        <v>8.9550000000000001</v>
      </c>
      <c r="N977" t="str">
        <f t="shared" si="46"/>
        <v>Arabica</v>
      </c>
      <c r="O977" t="str">
        <f t="shared" si="47"/>
        <v>Dark</v>
      </c>
      <c r="P977" t="str">
        <f>_xlfn.XLOOKUP(Table1[[#This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IF(_xlfn.XLOOKUP(C978,customers!$A$1:$A$1001,customers!C977:C1977,,0)=0,"",_xlfn.XLOOKUP(C978,customers!$A$1:$A$1001,customers!C977:C1977,,0))</f>
        <v/>
      </c>
      <c r="H978" s="2" t="str">
        <f>_xlfn.XLOOKUP(orders!C978,customers!$A$1:$A$1001,customers!$G$1:$G$1001,,0)</f>
        <v>United States</v>
      </c>
      <c r="I978" t="str">
        <f>INDEX(products!$A$1:$G$49,MATCH(orders!$D978, products!$A$1:$A$49,0), MATCH(orders!I$1,products!$A$1:$G$1,0))</f>
        <v>Rob</v>
      </c>
      <c r="J978" t="str">
        <f>INDEX(products!$A$1:$G$49,MATCH(orders!$D978, products!$A$1:$A$49,0), MATCH(orders!J$1,products!$A$1:$G$1,0))</f>
        <v>L</v>
      </c>
      <c r="K978" s="4">
        <f>INDEX(products!$A$1:$G$49,MATCH(orders!$D978, products!$A$1:$A$49,0), MATCH(orders!K$1,products!$A$1:$G$1,0))</f>
        <v>2.5</v>
      </c>
      <c r="L978" s="5">
        <f>INDEX(products!$A$1:$G$49,MATCH(orders!$D978, products!$A$1:$A$49,0), MATCH(orders!L$1,products!$A$1:$G$1,0))</f>
        <v>27.484999999999996</v>
      </c>
      <c r="M978" s="5">
        <f t="shared" si="45"/>
        <v>137.42499999999998</v>
      </c>
      <c r="N978" t="str">
        <f t="shared" si="46"/>
        <v>Robusta</v>
      </c>
      <c r="O978" t="str">
        <f t="shared" si="47"/>
        <v>Light</v>
      </c>
      <c r="P978" t="str">
        <f>_xlfn.XLOOKUP(Table1[[#This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IF(_xlfn.XLOOKUP(C979,customers!$A$1:$A$1001,customers!C978:C1978,,0)=0,"",_xlfn.XLOOKUP(C979,customers!$A$1:$A$1001,customers!C978:C1978,,0))</f>
        <v/>
      </c>
      <c r="H979" s="2" t="str">
        <f>_xlfn.XLOOKUP(orders!C979,customers!$A$1:$A$1001,customers!$G$1:$G$1001,,0)</f>
        <v>United States</v>
      </c>
      <c r="I979" t="str">
        <f>INDEX(products!$A$1:$G$49,MATCH(orders!$D979, products!$A$1:$A$49,0), MATCH(orders!I$1,products!$A$1:$G$1,0))</f>
        <v>Rob</v>
      </c>
      <c r="J979" t="str">
        <f>INDEX(products!$A$1:$G$49,MATCH(orders!$D979, products!$A$1:$A$49,0), MATCH(orders!J$1,products!$A$1:$G$1,0))</f>
        <v>L</v>
      </c>
      <c r="K979" s="4">
        <f>INDEX(products!$A$1:$G$49,MATCH(orders!$D979, products!$A$1:$A$49,0), MATCH(orders!K$1,products!$A$1:$G$1,0))</f>
        <v>1</v>
      </c>
      <c r="L979" s="5">
        <f>INDEX(products!$A$1:$G$49,MATCH(orders!$D979, products!$A$1:$A$49,0), MATCH(orders!L$1,products!$A$1:$G$1,0))</f>
        <v>11.95</v>
      </c>
      <c r="M979" s="5">
        <f t="shared" si="45"/>
        <v>59.75</v>
      </c>
      <c r="N979" t="str">
        <f t="shared" si="46"/>
        <v>Robusta</v>
      </c>
      <c r="O979" t="str">
        <f t="shared" si="47"/>
        <v>Light</v>
      </c>
      <c r="P979" t="str">
        <f>_xlfn.XLOOKUP(Table1[[#This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IF(_xlfn.XLOOKUP(C980,customers!$A$1:$A$1001,customers!C979:C1979,,0)=0,"",_xlfn.XLOOKUP(C980,customers!$A$1:$A$1001,customers!C979:C1979,,0))</f>
        <v/>
      </c>
      <c r="H980" s="2" t="str">
        <f>_xlfn.XLOOKUP(orders!C980,customers!$A$1:$A$1001,customers!$G$1:$G$1001,,0)</f>
        <v>United States</v>
      </c>
      <c r="I980" t="str">
        <f>INDEX(products!$A$1:$G$49,MATCH(orders!$D980, products!$A$1:$A$49,0), MATCH(orders!I$1,products!$A$1:$G$1,0))</f>
        <v>Ara</v>
      </c>
      <c r="J980" t="str">
        <f>INDEX(products!$A$1:$G$49,MATCH(orders!$D980, products!$A$1:$A$49,0), MATCH(orders!J$1,products!$A$1:$G$1,0))</f>
        <v>L</v>
      </c>
      <c r="K980" s="4">
        <f>INDEX(products!$A$1:$G$49,MATCH(orders!$D980, products!$A$1:$A$49,0), MATCH(orders!K$1,products!$A$1:$G$1,0))</f>
        <v>0.5</v>
      </c>
      <c r="L980" s="5">
        <f>INDEX(products!$A$1:$G$49,MATCH(orders!$D980, products!$A$1:$A$49,0), MATCH(orders!L$1,products!$A$1:$G$1,0))</f>
        <v>7.77</v>
      </c>
      <c r="M980" s="5">
        <f t="shared" si="45"/>
        <v>23.31</v>
      </c>
      <c r="N980" t="str">
        <f t="shared" si="46"/>
        <v>Arabica</v>
      </c>
      <c r="O980" t="str">
        <f t="shared" si="47"/>
        <v>Light</v>
      </c>
      <c r="P980" t="str">
        <f>_xlfn.XLOOKUP(Table1[[#This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IF(_xlfn.XLOOKUP(C981,customers!$A$1:$A$1001,customers!C980:C1980,,0)=0,"",_xlfn.XLOOKUP(C981,customers!$A$1:$A$1001,customers!C980:C1980,,0))</f>
        <v/>
      </c>
      <c r="H981" s="2" t="str">
        <f>_xlfn.XLOOKUP(orders!C981,customers!$A$1:$A$1001,customers!$G$1:$G$1001,,0)</f>
        <v>United States</v>
      </c>
      <c r="I981" t="str">
        <f>INDEX(products!$A$1:$G$49,MATCH(orders!$D981, products!$A$1:$A$49,0), MATCH(orders!I$1,products!$A$1:$G$1,0))</f>
        <v>Rob</v>
      </c>
      <c r="J981" t="str">
        <f>INDEX(products!$A$1:$G$49,MATCH(orders!$D981, products!$A$1:$A$49,0), MATCH(orders!J$1,products!$A$1:$G$1,0))</f>
        <v>D</v>
      </c>
      <c r="K981" s="4">
        <f>INDEX(products!$A$1:$G$49,MATCH(orders!$D981, products!$A$1:$A$49,0), MATCH(orders!K$1,products!$A$1:$G$1,0))</f>
        <v>0.5</v>
      </c>
      <c r="L981" s="5">
        <f>INDEX(products!$A$1:$G$49,MATCH(orders!$D981, products!$A$1:$A$49,0), MATCH(orders!L$1,products!$A$1:$G$1,0))</f>
        <v>5.3699999999999992</v>
      </c>
      <c r="M981" s="5">
        <f t="shared" si="45"/>
        <v>10.739999999999998</v>
      </c>
      <c r="N981" t="str">
        <f t="shared" si="46"/>
        <v>Robusta</v>
      </c>
      <c r="O981" t="str">
        <f t="shared" si="47"/>
        <v>Dark</v>
      </c>
      <c r="P981" t="str">
        <f>_xlfn.XLOOKUP(Table1[[#This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IF(_xlfn.XLOOKUP(C982,customers!$A$1:$A$1001,customers!C981:C1981,,0)=0,"",_xlfn.XLOOKUP(C982,customers!$A$1:$A$1001,customers!C981:C1981,,0))</f>
        <v/>
      </c>
      <c r="H982" s="2" t="str">
        <f>_xlfn.XLOOKUP(orders!C982,customers!$A$1:$A$1001,customers!$G$1:$G$1001,,0)</f>
        <v>United States</v>
      </c>
      <c r="I982" t="str">
        <f>INDEX(products!$A$1:$G$49,MATCH(orders!$D982, products!$A$1:$A$49,0), MATCH(orders!I$1,products!$A$1:$G$1,0))</f>
        <v>Exc</v>
      </c>
      <c r="J982" t="str">
        <f>INDEX(products!$A$1:$G$49,MATCH(orders!$D982, products!$A$1:$A$49,0), MATCH(orders!J$1,products!$A$1:$G$1,0))</f>
        <v>D</v>
      </c>
      <c r="K982" s="4">
        <f>INDEX(products!$A$1:$G$49,MATCH(orders!$D982, products!$A$1:$A$49,0), MATCH(orders!K$1,products!$A$1:$G$1,0))</f>
        <v>2.5</v>
      </c>
      <c r="L982" s="5">
        <f>INDEX(products!$A$1:$G$49,MATCH(orders!$D982, products!$A$1:$A$49,0), MATCH(orders!L$1,products!$A$1:$G$1,0))</f>
        <v>27.945</v>
      </c>
      <c r="M982" s="5">
        <f t="shared" si="45"/>
        <v>167.67000000000002</v>
      </c>
      <c r="N982" t="str">
        <f t="shared" si="46"/>
        <v>Excelsa</v>
      </c>
      <c r="O982" t="str">
        <f t="shared" si="47"/>
        <v>Dark</v>
      </c>
      <c r="P982" t="str">
        <f>_xlfn.XLOOKUP(Table1[[#This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IF(_xlfn.XLOOKUP(C983,customers!$A$1:$A$1001,customers!C982:C1982,,0)=0,"",_xlfn.XLOOKUP(C983,customers!$A$1:$A$1001,customers!C982:C1982,,0))</f>
        <v/>
      </c>
      <c r="H983" s="2" t="str">
        <f>_xlfn.XLOOKUP(orders!C983,customers!$A$1:$A$1001,customers!$G$1:$G$1001,,0)</f>
        <v>United States</v>
      </c>
      <c r="I983" t="str">
        <f>INDEX(products!$A$1:$G$49,MATCH(orders!$D983, products!$A$1:$A$49,0), MATCH(orders!I$1,products!$A$1:$G$1,0))</f>
        <v>Exc</v>
      </c>
      <c r="J983" t="str">
        <f>INDEX(products!$A$1:$G$49,MATCH(orders!$D983, products!$A$1:$A$49,0), MATCH(orders!J$1,products!$A$1:$G$1,0))</f>
        <v>D</v>
      </c>
      <c r="K983" s="4">
        <f>INDEX(products!$A$1:$G$49,MATCH(orders!$D983, products!$A$1:$A$49,0), MATCH(orders!K$1,products!$A$1:$G$1,0))</f>
        <v>0.2</v>
      </c>
      <c r="L983" s="5">
        <f>INDEX(products!$A$1:$G$49,MATCH(orders!$D983, products!$A$1:$A$49,0), MATCH(orders!L$1,products!$A$1:$G$1,0))</f>
        <v>3.645</v>
      </c>
      <c r="M983" s="5">
        <f t="shared" si="45"/>
        <v>21.87</v>
      </c>
      <c r="N983" t="str">
        <f t="shared" si="46"/>
        <v>Excelsa</v>
      </c>
      <c r="O983" t="str">
        <f t="shared" si="47"/>
        <v>Dark</v>
      </c>
      <c r="P983" t="str">
        <f>_xlfn.XLOOKUP(Table1[[#This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IF(_xlfn.XLOOKUP(C984,customers!$A$1:$A$1001,customers!C983:C1983,,0)=0,"",_xlfn.XLOOKUP(C984,customers!$A$1:$A$1001,customers!C983:C1983,,0))</f>
        <v/>
      </c>
      <c r="H984" s="2" t="str">
        <f>_xlfn.XLOOKUP(orders!C984,customers!$A$1:$A$1001,customers!$G$1:$G$1001,,0)</f>
        <v>United States</v>
      </c>
      <c r="I984" t="str">
        <f>INDEX(products!$A$1:$G$49,MATCH(orders!$D984, products!$A$1:$A$49,0), MATCH(orders!I$1,products!$A$1:$G$1,0))</f>
        <v>Rob</v>
      </c>
      <c r="J984" t="str">
        <f>INDEX(products!$A$1:$G$49,MATCH(orders!$D984, products!$A$1:$A$49,0), MATCH(orders!J$1,products!$A$1:$G$1,0))</f>
        <v>L</v>
      </c>
      <c r="K984" s="4">
        <f>INDEX(products!$A$1:$G$49,MATCH(orders!$D984, products!$A$1:$A$49,0), MATCH(orders!K$1,products!$A$1:$G$1,0))</f>
        <v>1</v>
      </c>
      <c r="L984" s="5">
        <f>INDEX(products!$A$1:$G$49,MATCH(orders!$D984, products!$A$1:$A$49,0), MATCH(orders!L$1,products!$A$1:$G$1,0))</f>
        <v>11.95</v>
      </c>
      <c r="M984" s="5">
        <f t="shared" si="45"/>
        <v>23.9</v>
      </c>
      <c r="N984" t="str">
        <f t="shared" si="46"/>
        <v>Robusta</v>
      </c>
      <c r="O984" t="str">
        <f t="shared" si="47"/>
        <v>Light</v>
      </c>
      <c r="P984" t="str">
        <f>_xlfn.XLOOKUP(Table1[[#This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IF(_xlfn.XLOOKUP(C985,customers!$A$1:$A$1001,customers!C984:C1984,,0)=0,"",_xlfn.XLOOKUP(C985,customers!$A$1:$A$1001,customers!C984:C1984,,0))</f>
        <v/>
      </c>
      <c r="H985" s="2" t="str">
        <f>_xlfn.XLOOKUP(orders!C985,customers!$A$1:$A$1001,customers!$G$1:$G$1001,,0)</f>
        <v>United States</v>
      </c>
      <c r="I985" t="str">
        <f>INDEX(products!$A$1:$G$49,MATCH(orders!$D985, products!$A$1:$A$49,0), MATCH(orders!I$1,products!$A$1:$G$1,0))</f>
        <v>Ara</v>
      </c>
      <c r="J985" t="str">
        <f>INDEX(products!$A$1:$G$49,MATCH(orders!$D985, products!$A$1:$A$49,0), MATCH(orders!J$1,products!$A$1:$G$1,0))</f>
        <v>M</v>
      </c>
      <c r="K985" s="4">
        <f>INDEX(products!$A$1:$G$49,MATCH(orders!$D985, products!$A$1:$A$49,0), MATCH(orders!K$1,products!$A$1:$G$1,0))</f>
        <v>0.2</v>
      </c>
      <c r="L985" s="5">
        <f>INDEX(products!$A$1:$G$49,MATCH(orders!$D985, products!$A$1:$A$49,0), MATCH(orders!L$1,products!$A$1:$G$1,0))</f>
        <v>3.375</v>
      </c>
      <c r="M985" s="5">
        <f t="shared" si="45"/>
        <v>6.75</v>
      </c>
      <c r="N985" t="str">
        <f t="shared" si="46"/>
        <v>Arabica</v>
      </c>
      <c r="O985" t="str">
        <f t="shared" si="47"/>
        <v>Medium</v>
      </c>
      <c r="P985" t="str">
        <f>_xlfn.XLOOKUP(Table1[[#This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IF(_xlfn.XLOOKUP(C986,customers!$A$1:$A$1001,customers!C985:C1985,,0)=0,"",_xlfn.XLOOKUP(C986,customers!$A$1:$A$1001,customers!C985:C1985,,0))</f>
        <v/>
      </c>
      <c r="H986" s="2" t="str">
        <f>_xlfn.XLOOKUP(orders!C986,customers!$A$1:$A$1001,customers!$G$1:$G$1001,,0)</f>
        <v>Ireland</v>
      </c>
      <c r="I986" t="str">
        <f>INDEX(products!$A$1:$G$49,MATCH(orders!$D986, products!$A$1:$A$49,0), MATCH(orders!I$1,products!$A$1:$G$1,0))</f>
        <v>Exc</v>
      </c>
      <c r="J986" t="str">
        <f>INDEX(products!$A$1:$G$49,MATCH(orders!$D986, products!$A$1:$A$49,0), MATCH(orders!J$1,products!$A$1:$G$1,0))</f>
        <v>M</v>
      </c>
      <c r="K986" s="4">
        <f>INDEX(products!$A$1:$G$49,MATCH(orders!$D986, products!$A$1:$A$49,0), MATCH(orders!K$1,products!$A$1:$G$1,0))</f>
        <v>2.5</v>
      </c>
      <c r="L986" s="5">
        <f>INDEX(products!$A$1:$G$49,MATCH(orders!$D986, products!$A$1:$A$49,0), MATCH(orders!L$1,products!$A$1:$G$1,0))</f>
        <v>31.624999999999996</v>
      </c>
      <c r="M986" s="5">
        <f t="shared" si="45"/>
        <v>31.624999999999996</v>
      </c>
      <c r="N986" t="str">
        <f t="shared" si="46"/>
        <v>Excelsa</v>
      </c>
      <c r="O986" t="str">
        <f t="shared" si="47"/>
        <v>Medium</v>
      </c>
      <c r="P986" t="str">
        <f>_xlfn.XLOOKUP(Table1[[#This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IF(_xlfn.XLOOKUP(C987,customers!$A$1:$A$1001,customers!C986:C1986,,0)=0,"",_xlfn.XLOOKUP(C987,customers!$A$1:$A$1001,customers!C986:C1986,,0))</f>
        <v/>
      </c>
      <c r="H987" s="2" t="str">
        <f>_xlfn.XLOOKUP(orders!C987,customers!$A$1:$A$1001,customers!$G$1:$G$1001,,0)</f>
        <v>United States</v>
      </c>
      <c r="I987" t="str">
        <f>INDEX(products!$A$1:$G$49,MATCH(orders!$D987, products!$A$1:$A$49,0), MATCH(orders!I$1,products!$A$1:$G$1,0))</f>
        <v>Rob</v>
      </c>
      <c r="J987" t="str">
        <f>INDEX(products!$A$1:$G$49,MATCH(orders!$D987, products!$A$1:$A$49,0), MATCH(orders!J$1,products!$A$1:$G$1,0))</f>
        <v>L</v>
      </c>
      <c r="K987" s="4">
        <f>INDEX(products!$A$1:$G$49,MATCH(orders!$D987, products!$A$1:$A$49,0), MATCH(orders!K$1,products!$A$1:$G$1,0))</f>
        <v>1</v>
      </c>
      <c r="L987" s="5">
        <f>INDEX(products!$A$1:$G$49,MATCH(orders!$D987, products!$A$1:$A$49,0), MATCH(orders!L$1,products!$A$1:$G$1,0))</f>
        <v>11.95</v>
      </c>
      <c r="M987" s="5">
        <f t="shared" si="45"/>
        <v>47.8</v>
      </c>
      <c r="N987" t="str">
        <f t="shared" si="46"/>
        <v>Robusta</v>
      </c>
      <c r="O987" t="str">
        <f t="shared" si="47"/>
        <v>Light</v>
      </c>
      <c r="P987" t="str">
        <f>_xlfn.XLOOKUP(Table1[[#This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IF(_xlfn.XLOOKUP(C988,customers!$A$1:$A$1001,customers!C987:C1987,,0)=0,"",_xlfn.XLOOKUP(C988,customers!$A$1:$A$1001,customers!C987:C1987,,0))</f>
        <v/>
      </c>
      <c r="H988" s="2" t="str">
        <f>_xlfn.XLOOKUP(orders!C988,customers!$A$1:$A$1001,customers!$G$1:$G$1001,,0)</f>
        <v>United States</v>
      </c>
      <c r="I988" t="str">
        <f>INDEX(products!$A$1:$G$49,MATCH(orders!$D988, products!$A$1:$A$49,0), MATCH(orders!I$1,products!$A$1:$G$1,0))</f>
        <v>Lib</v>
      </c>
      <c r="J988" t="str">
        <f>INDEX(products!$A$1:$G$49,MATCH(orders!$D988, products!$A$1:$A$49,0), MATCH(orders!J$1,products!$A$1:$G$1,0))</f>
        <v>M</v>
      </c>
      <c r="K988" s="4">
        <f>INDEX(products!$A$1:$G$49,MATCH(orders!$D988, products!$A$1:$A$49,0), MATCH(orders!K$1,products!$A$1:$G$1,0))</f>
        <v>2.5</v>
      </c>
      <c r="L988" s="5">
        <f>INDEX(products!$A$1:$G$49,MATCH(orders!$D988, products!$A$1:$A$49,0), MATCH(orders!L$1,products!$A$1:$G$1,0))</f>
        <v>33.464999999999996</v>
      </c>
      <c r="M988" s="5">
        <f t="shared" si="45"/>
        <v>33.464999999999996</v>
      </c>
      <c r="N988" t="str">
        <f t="shared" si="46"/>
        <v>Liberica</v>
      </c>
      <c r="O988" t="str">
        <f t="shared" si="47"/>
        <v>Medium</v>
      </c>
      <c r="P988" t="str">
        <f>_xlfn.XLOOKUP(Table1[[#This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IF(_xlfn.XLOOKUP(C989,customers!$A$1:$A$1001,customers!C988:C1988,,0)=0,"",_xlfn.XLOOKUP(C989,customers!$A$1:$A$1001,customers!C988:C1988,,0))</f>
        <v/>
      </c>
      <c r="H989" s="2" t="str">
        <f>_xlfn.XLOOKUP(orders!C989,customers!$A$1:$A$1001,customers!$G$1:$G$1001,,0)</f>
        <v>United Kingdom</v>
      </c>
      <c r="I989" t="str">
        <f>INDEX(products!$A$1:$G$49,MATCH(orders!$D989, products!$A$1:$A$49,0), MATCH(orders!I$1,products!$A$1:$G$1,0))</f>
        <v>Ara</v>
      </c>
      <c r="J989" t="str">
        <f>INDEX(products!$A$1:$G$49,MATCH(orders!$D989, products!$A$1:$A$49,0), MATCH(orders!J$1,products!$A$1:$G$1,0))</f>
        <v>D</v>
      </c>
      <c r="K989" s="4">
        <f>INDEX(products!$A$1:$G$49,MATCH(orders!$D989, products!$A$1:$A$49,0), MATCH(orders!K$1,products!$A$1:$G$1,0))</f>
        <v>0.5</v>
      </c>
      <c r="L989" s="5">
        <f>INDEX(products!$A$1:$G$49,MATCH(orders!$D989, products!$A$1:$A$49,0), MATCH(orders!L$1,products!$A$1:$G$1,0))</f>
        <v>5.97</v>
      </c>
      <c r="M989" s="5">
        <f t="shared" si="45"/>
        <v>29.849999999999998</v>
      </c>
      <c r="N989" t="str">
        <f t="shared" si="46"/>
        <v>Arabica</v>
      </c>
      <c r="O989" t="str">
        <f t="shared" si="47"/>
        <v>Dark</v>
      </c>
      <c r="P989" t="str">
        <f>_xlfn.XLOOKUP(Table1[[#This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IF(_xlfn.XLOOKUP(C990,customers!$A$1:$A$1001,customers!C989:C1989,,0)=0,"",_xlfn.XLOOKUP(C990,customers!$A$1:$A$1001,customers!C989:C1989,,0))</f>
        <v/>
      </c>
      <c r="H990" s="2" t="str">
        <f>_xlfn.XLOOKUP(orders!C990,customers!$A$1:$A$1001,customers!$G$1:$G$1001,,0)</f>
        <v>United Kingdom</v>
      </c>
      <c r="I990" t="str">
        <f>INDEX(products!$A$1:$G$49,MATCH(orders!$D990, products!$A$1:$A$49,0), MATCH(orders!I$1,products!$A$1:$G$1,0))</f>
        <v>Rob</v>
      </c>
      <c r="J990" t="str">
        <f>INDEX(products!$A$1:$G$49,MATCH(orders!$D990, products!$A$1:$A$49,0), MATCH(orders!J$1,products!$A$1:$G$1,0))</f>
        <v>M</v>
      </c>
      <c r="K990" s="4">
        <f>INDEX(products!$A$1:$G$49,MATCH(orders!$D990, products!$A$1:$A$49,0), MATCH(orders!K$1,products!$A$1:$G$1,0))</f>
        <v>1</v>
      </c>
      <c r="L990" s="5">
        <f>INDEX(products!$A$1:$G$49,MATCH(orders!$D990, products!$A$1:$A$49,0), MATCH(orders!L$1,products!$A$1:$G$1,0))</f>
        <v>9.9499999999999993</v>
      </c>
      <c r="M990" s="5">
        <f t="shared" si="45"/>
        <v>29.849999999999998</v>
      </c>
      <c r="N990" t="str">
        <f t="shared" si="46"/>
        <v>Robusta</v>
      </c>
      <c r="O990" t="str">
        <f t="shared" si="47"/>
        <v>Medium</v>
      </c>
      <c r="P990" t="str">
        <f>_xlfn.XLOOKUP(Table1[[#This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IF(_xlfn.XLOOKUP(C991,customers!$A$1:$A$1001,customers!C990:C1990,,0)=0,"",_xlfn.XLOOKUP(C991,customers!$A$1:$A$1001,customers!C990:C1990,,0))</f>
        <v/>
      </c>
      <c r="H991" s="2" t="str">
        <f>_xlfn.XLOOKUP(orders!C991,customers!$A$1:$A$1001,customers!$G$1:$G$1001,,0)</f>
        <v>United States</v>
      </c>
      <c r="I991" t="str">
        <f>INDEX(products!$A$1:$G$49,MATCH(orders!$D991, products!$A$1:$A$49,0), MATCH(orders!I$1,products!$A$1:$G$1,0))</f>
        <v>Ara</v>
      </c>
      <c r="J991" t="str">
        <f>INDEX(products!$A$1:$G$49,MATCH(orders!$D991, products!$A$1:$A$49,0), MATCH(orders!J$1,products!$A$1:$G$1,0))</f>
        <v>M</v>
      </c>
      <c r="K991" s="4">
        <f>INDEX(products!$A$1:$G$49,MATCH(orders!$D991, products!$A$1:$A$49,0), MATCH(orders!K$1,products!$A$1:$G$1,0))</f>
        <v>2.5</v>
      </c>
      <c r="L991" s="5">
        <f>INDEX(products!$A$1:$G$49,MATCH(orders!$D991, products!$A$1:$A$49,0), MATCH(orders!L$1,products!$A$1:$G$1,0))</f>
        <v>25.874999999999996</v>
      </c>
      <c r="M991" s="5">
        <f t="shared" si="45"/>
        <v>155.24999999999997</v>
      </c>
      <c r="N991" t="str">
        <f t="shared" si="46"/>
        <v>Arabica</v>
      </c>
      <c r="O991" t="str">
        <f t="shared" si="47"/>
        <v>Medium</v>
      </c>
      <c r="P991" t="str">
        <f>_xlfn.XLOOKUP(Table1[[#This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IF(_xlfn.XLOOKUP(C992,customers!$A$1:$A$1001,customers!C991:C1991,,0)=0,"",_xlfn.XLOOKUP(C992,customers!$A$1:$A$1001,customers!C991:C1991,,0))</f>
        <v/>
      </c>
      <c r="H992" s="2" t="str">
        <f>_xlfn.XLOOKUP(orders!C992,customers!$A$1:$A$1001,customers!$G$1:$G$1001,,0)</f>
        <v>United States</v>
      </c>
      <c r="I992" t="str">
        <f>INDEX(products!$A$1:$G$49,MATCH(orders!$D992, products!$A$1:$A$49,0), MATCH(orders!I$1,products!$A$1:$G$1,0))</f>
        <v>Exc</v>
      </c>
      <c r="J992" t="str">
        <f>INDEX(products!$A$1:$G$49,MATCH(orders!$D992, products!$A$1:$A$49,0), MATCH(orders!J$1,products!$A$1:$G$1,0))</f>
        <v>D</v>
      </c>
      <c r="K992" s="4">
        <f>INDEX(products!$A$1:$G$49,MATCH(orders!$D992, products!$A$1:$A$49,0), MATCH(orders!K$1,products!$A$1:$G$1,0))</f>
        <v>0.2</v>
      </c>
      <c r="L992" s="5">
        <f>INDEX(products!$A$1:$G$49,MATCH(orders!$D992, products!$A$1:$A$49,0), MATCH(orders!L$1,products!$A$1:$G$1,0))</f>
        <v>3.645</v>
      </c>
      <c r="M992" s="5">
        <f t="shared" si="45"/>
        <v>18.225000000000001</v>
      </c>
      <c r="N992" t="str">
        <f t="shared" si="46"/>
        <v>Excelsa</v>
      </c>
      <c r="O992" t="str">
        <f t="shared" si="47"/>
        <v>Dark</v>
      </c>
      <c r="P992" t="str">
        <f>_xlfn.XLOOKUP(Table1[[#This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IF(_xlfn.XLOOKUP(C993,customers!$A$1:$A$1001,customers!C992:C1992,,0)=0,"",_xlfn.XLOOKUP(C993,customers!$A$1:$A$1001,customers!C992:C1992,,0))</f>
        <v/>
      </c>
      <c r="H993" s="2" t="str">
        <f>_xlfn.XLOOKUP(orders!C993,customers!$A$1:$A$1001,customers!$G$1:$G$1001,,0)</f>
        <v>United States</v>
      </c>
      <c r="I993" t="str">
        <f>INDEX(products!$A$1:$G$49,MATCH(orders!$D993, products!$A$1:$A$49,0), MATCH(orders!I$1,products!$A$1:$G$1,0))</f>
        <v>Lib</v>
      </c>
      <c r="J993" t="str">
        <f>INDEX(products!$A$1:$G$49,MATCH(orders!$D993, products!$A$1:$A$49,0), MATCH(orders!J$1,products!$A$1:$G$1,0))</f>
        <v>D</v>
      </c>
      <c r="K993" s="4">
        <f>INDEX(products!$A$1:$G$49,MATCH(orders!$D993, products!$A$1:$A$49,0), MATCH(orders!K$1,products!$A$1:$G$1,0))</f>
        <v>0.5</v>
      </c>
      <c r="L993" s="5">
        <f>INDEX(products!$A$1:$G$49,MATCH(orders!$D993, products!$A$1:$A$49,0), MATCH(orders!L$1,products!$A$1:$G$1,0))</f>
        <v>7.77</v>
      </c>
      <c r="M993" s="5">
        <f t="shared" si="45"/>
        <v>15.54</v>
      </c>
      <c r="N993" t="str">
        <f t="shared" si="46"/>
        <v>Liberica</v>
      </c>
      <c r="O993" t="str">
        <f t="shared" si="47"/>
        <v>Dark</v>
      </c>
      <c r="P993" t="str">
        <f>_xlfn.XLOOKUP(Table1[[#This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IF(_xlfn.XLOOKUP(C994,customers!$A$1:$A$1001,customers!C993:C1993,,0)=0,"",_xlfn.XLOOKUP(C994,customers!$A$1:$A$1001,customers!C993:C1993,,0))</f>
        <v/>
      </c>
      <c r="H994" s="2" t="str">
        <f>_xlfn.XLOOKUP(orders!C994,customers!$A$1:$A$1001,customers!$G$1:$G$1001,,0)</f>
        <v>Ireland</v>
      </c>
      <c r="I994" t="str">
        <f>INDEX(products!$A$1:$G$49,MATCH(orders!$D994, products!$A$1:$A$49,0), MATCH(orders!I$1,products!$A$1:$G$1,0))</f>
        <v>Lib</v>
      </c>
      <c r="J994" t="str">
        <f>INDEX(products!$A$1:$G$49,MATCH(orders!$D994, products!$A$1:$A$49,0), MATCH(orders!J$1,products!$A$1:$G$1,0))</f>
        <v>L</v>
      </c>
      <c r="K994" s="4">
        <f>INDEX(products!$A$1:$G$49,MATCH(orders!$D994, products!$A$1:$A$49,0), MATCH(orders!K$1,products!$A$1:$G$1,0))</f>
        <v>2.5</v>
      </c>
      <c r="L994" s="5">
        <f>INDEX(products!$A$1:$G$49,MATCH(orders!$D994, products!$A$1:$A$49,0), MATCH(orders!L$1,products!$A$1:$G$1,0))</f>
        <v>36.454999999999998</v>
      </c>
      <c r="M994" s="5">
        <f t="shared" si="45"/>
        <v>109.36499999999999</v>
      </c>
      <c r="N994" t="str">
        <f t="shared" si="46"/>
        <v>Liberica</v>
      </c>
      <c r="O994" t="str">
        <f t="shared" si="47"/>
        <v>Light</v>
      </c>
      <c r="P994" t="str">
        <f>_xlfn.XLOOKUP(Table1[[#This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IF(_xlfn.XLOOKUP(C995,customers!$A$1:$A$1001,customers!C994:C1994,,0)=0,"",_xlfn.XLOOKUP(C995,customers!$A$1:$A$1001,customers!C994:C1994,,0))</f>
        <v/>
      </c>
      <c r="H995" s="2" t="str">
        <f>_xlfn.XLOOKUP(orders!C995,customers!$A$1:$A$1001,customers!$G$1:$G$1001,,0)</f>
        <v>United States</v>
      </c>
      <c r="I995" t="str">
        <f>INDEX(products!$A$1:$G$49,MATCH(orders!$D995, products!$A$1:$A$49,0), MATCH(orders!I$1,products!$A$1:$G$1,0))</f>
        <v>Ara</v>
      </c>
      <c r="J995" t="str">
        <f>INDEX(products!$A$1:$G$49,MATCH(orders!$D995, products!$A$1:$A$49,0), MATCH(orders!J$1,products!$A$1:$G$1,0))</f>
        <v>L</v>
      </c>
      <c r="K995" s="4">
        <f>INDEX(products!$A$1:$G$49,MATCH(orders!$D995, products!$A$1:$A$49,0), MATCH(orders!K$1,products!$A$1:$G$1,0))</f>
        <v>1</v>
      </c>
      <c r="L995" s="5">
        <f>INDEX(products!$A$1:$G$49,MATCH(orders!$D995, products!$A$1:$A$49,0), MATCH(orders!L$1,products!$A$1:$G$1,0))</f>
        <v>12.95</v>
      </c>
      <c r="M995" s="5">
        <f t="shared" si="45"/>
        <v>77.699999999999989</v>
      </c>
      <c r="N995" t="str">
        <f t="shared" si="46"/>
        <v>Arabica</v>
      </c>
      <c r="O995" t="str">
        <f t="shared" si="47"/>
        <v>Light</v>
      </c>
      <c r="P995" t="str">
        <f>_xlfn.XLOOKUP(Table1[[#This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IF(_xlfn.XLOOKUP(C996,customers!$A$1:$A$1001,customers!C995:C1995,,0)=0,"",_xlfn.XLOOKUP(C996,customers!$A$1:$A$1001,customers!C995:C1995,,0))</f>
        <v/>
      </c>
      <c r="H996" s="2" t="str">
        <f>_xlfn.XLOOKUP(orders!C996,customers!$A$1:$A$1001,customers!$G$1:$G$1001,,0)</f>
        <v>Ireland</v>
      </c>
      <c r="I996" t="str">
        <f>INDEX(products!$A$1:$G$49,MATCH(orders!$D996, products!$A$1:$A$49,0), MATCH(orders!I$1,products!$A$1:$G$1,0))</f>
        <v>Ara</v>
      </c>
      <c r="J996" t="str">
        <f>INDEX(products!$A$1:$G$49,MATCH(orders!$D996, products!$A$1:$A$49,0), MATCH(orders!J$1,products!$A$1:$G$1,0))</f>
        <v>D</v>
      </c>
      <c r="K996" s="4">
        <f>INDEX(products!$A$1:$G$49,MATCH(orders!$D996, products!$A$1:$A$49,0), MATCH(orders!K$1,products!$A$1:$G$1,0))</f>
        <v>0.2</v>
      </c>
      <c r="L996" s="5">
        <f>INDEX(products!$A$1:$G$49,MATCH(orders!$D996, products!$A$1:$A$49,0), MATCH(orders!L$1,products!$A$1:$G$1,0))</f>
        <v>2.9849999999999999</v>
      </c>
      <c r="M996" s="5">
        <f t="shared" si="45"/>
        <v>8.9550000000000001</v>
      </c>
      <c r="N996" t="str">
        <f t="shared" si="46"/>
        <v>Arabica</v>
      </c>
      <c r="O996" t="str">
        <f t="shared" si="47"/>
        <v>Dark</v>
      </c>
      <c r="P996" t="str">
        <f>_xlfn.XLOOKUP(Table1[[#This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IF(_xlfn.XLOOKUP(C997,customers!$A$1:$A$1001,customers!C996:C1996,,0)=0,"",_xlfn.XLOOKUP(C997,customers!$A$1:$A$1001,customers!C996:C1996,,0))</f>
        <v/>
      </c>
      <c r="H997" s="2" t="str">
        <f>_xlfn.XLOOKUP(orders!C997,customers!$A$1:$A$1001,customers!$G$1:$G$1001,,0)</f>
        <v>United States</v>
      </c>
      <c r="I997" t="str">
        <f>INDEX(products!$A$1:$G$49,MATCH(orders!$D997, products!$A$1:$A$49,0), MATCH(orders!I$1,products!$A$1:$G$1,0))</f>
        <v>Rob</v>
      </c>
      <c r="J997" t="str">
        <f>INDEX(products!$A$1:$G$49,MATCH(orders!$D997, products!$A$1:$A$49,0), MATCH(orders!J$1,products!$A$1:$G$1,0))</f>
        <v>L</v>
      </c>
      <c r="K997" s="4">
        <f>INDEX(products!$A$1:$G$49,MATCH(orders!$D997, products!$A$1:$A$49,0), MATCH(orders!K$1,products!$A$1:$G$1,0))</f>
        <v>2.5</v>
      </c>
      <c r="L997" s="5">
        <f>INDEX(products!$A$1:$G$49,MATCH(orders!$D997, products!$A$1:$A$49,0), MATCH(orders!L$1,products!$A$1:$G$1,0))</f>
        <v>27.484999999999996</v>
      </c>
      <c r="M997" s="5">
        <f t="shared" si="45"/>
        <v>27.484999999999996</v>
      </c>
      <c r="N997" t="str">
        <f t="shared" si="46"/>
        <v>Robusta</v>
      </c>
      <c r="O997" t="str">
        <f t="shared" si="47"/>
        <v>Light</v>
      </c>
      <c r="P997" t="str">
        <f>_xlfn.XLOOKUP(Table1[[#This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IF(_xlfn.XLOOKUP(C998,customers!$A$1:$A$1001,customers!C997:C1997,,0)=0,"",_xlfn.XLOOKUP(C998,customers!$A$1:$A$1001,customers!C997:C1997,,0))</f>
        <v/>
      </c>
      <c r="H998" s="2" t="str">
        <f>_xlfn.XLOOKUP(orders!C998,customers!$A$1:$A$1001,customers!$G$1:$G$1001,,0)</f>
        <v>United States</v>
      </c>
      <c r="I998" t="str">
        <f>INDEX(products!$A$1:$G$49,MATCH(orders!$D998, products!$A$1:$A$49,0), MATCH(orders!I$1,products!$A$1:$G$1,0))</f>
        <v>Rob</v>
      </c>
      <c r="J998" t="str">
        <f>INDEX(products!$A$1:$G$49,MATCH(orders!$D998, products!$A$1:$A$49,0), MATCH(orders!J$1,products!$A$1:$G$1,0))</f>
        <v>M</v>
      </c>
      <c r="K998" s="4">
        <f>INDEX(products!$A$1:$G$49,MATCH(orders!$D998, products!$A$1:$A$49,0), MATCH(orders!K$1,products!$A$1:$G$1,0))</f>
        <v>0.5</v>
      </c>
      <c r="L998" s="5">
        <f>INDEX(products!$A$1:$G$49,MATCH(orders!$D998, products!$A$1:$A$49,0), MATCH(orders!L$1,products!$A$1:$G$1,0))</f>
        <v>5.97</v>
      </c>
      <c r="M998" s="5">
        <f t="shared" si="45"/>
        <v>29.849999999999998</v>
      </c>
      <c r="N998" t="str">
        <f t="shared" si="46"/>
        <v>Robusta</v>
      </c>
      <c r="O998" t="str">
        <f t="shared" si="47"/>
        <v>Medium</v>
      </c>
      <c r="P998" t="str">
        <f>_xlfn.XLOOKUP(Table1[[#This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IF(_xlfn.XLOOKUP(C999,customers!$A$1:$A$1001,customers!C998:C1998,,0)=0,"",_xlfn.XLOOKUP(C999,customers!$A$1:$A$1001,customers!C998:C1998,,0))</f>
        <v/>
      </c>
      <c r="H999" s="2" t="str">
        <f>_xlfn.XLOOKUP(orders!C999,customers!$A$1:$A$1001,customers!$G$1:$G$1001,,0)</f>
        <v>United States</v>
      </c>
      <c r="I999" t="str">
        <f>INDEX(products!$A$1:$G$49,MATCH(orders!$D999, products!$A$1:$A$49,0), MATCH(orders!I$1,products!$A$1:$G$1,0))</f>
        <v>Ara</v>
      </c>
      <c r="J999" t="str">
        <f>INDEX(products!$A$1:$G$49,MATCH(orders!$D999, products!$A$1:$A$49,0), MATCH(orders!J$1,products!$A$1:$G$1,0))</f>
        <v>M</v>
      </c>
      <c r="K999" s="4">
        <f>INDEX(products!$A$1:$G$49,MATCH(orders!$D999, products!$A$1:$A$49,0), MATCH(orders!K$1,products!$A$1:$G$1,0))</f>
        <v>0.5</v>
      </c>
      <c r="L999" s="5">
        <f>INDEX(products!$A$1:$G$49,MATCH(orders!$D999, products!$A$1:$A$49,0), MATCH(orders!L$1,products!$A$1:$G$1,0))</f>
        <v>6.75</v>
      </c>
      <c r="M999" s="5">
        <f t="shared" si="45"/>
        <v>27</v>
      </c>
      <c r="N999" t="str">
        <f t="shared" si="46"/>
        <v>Arabica</v>
      </c>
      <c r="O999" t="str">
        <f t="shared" si="47"/>
        <v>Medium</v>
      </c>
      <c r="P999" t="str">
        <f>_xlfn.XLOOKUP(Table1[[#This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IF(_xlfn.XLOOKUP(C1000,customers!$A$1:$A$1001,customers!C999:C1999,,0)=0,"",_xlfn.XLOOKUP(C1000,customers!$A$1:$A$1001,customers!C999:C1999,,0))</f>
        <v/>
      </c>
      <c r="H1000" s="2" t="str">
        <f>_xlfn.XLOOKUP(orders!C1000,customers!$A$1:$A$1001,customers!$G$1:$G$1001,,0)</f>
        <v>United States</v>
      </c>
      <c r="I1000" t="str">
        <f>INDEX(products!$A$1:$G$49,MATCH(orders!$D1000, products!$A$1:$A$49,0), MATCH(orders!I$1,products!$A$1:$G$1,0))</f>
        <v>Ara</v>
      </c>
      <c r="J1000" t="str">
        <f>INDEX(products!$A$1:$G$49,MATCH(orders!$D1000, products!$A$1:$A$49,0), MATCH(orders!J$1,products!$A$1:$G$1,0))</f>
        <v>D</v>
      </c>
      <c r="K1000" s="4">
        <f>INDEX(products!$A$1:$G$49,MATCH(orders!$D1000, products!$A$1:$A$49,0), MATCH(orders!K$1,products!$A$1:$G$1,0))</f>
        <v>1</v>
      </c>
      <c r="L1000" s="5">
        <f>INDEX(products!$A$1:$G$49,MATCH(orders!$D1000, products!$A$1:$A$49,0), MATCH(orders!L$1,products!$A$1:$G$1,0))</f>
        <v>9.9499999999999993</v>
      </c>
      <c r="M1000" s="5">
        <f t="shared" si="45"/>
        <v>9.9499999999999993</v>
      </c>
      <c r="N1000" t="str">
        <f t="shared" si="46"/>
        <v>Arabica</v>
      </c>
      <c r="O1000" t="str">
        <f t="shared" si="47"/>
        <v>Dark</v>
      </c>
      <c r="P1000" t="str">
        <f>_xlfn.XLOOKUP(Table1[[#This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IF(_xlfn.XLOOKUP(C1001,customers!$A$1:$A$1001,customers!C1000:C2000,,0)=0,"",_xlfn.XLOOKUP(C1001,customers!$A$1:$A$1001,customers!C1000:C2000,,0))</f>
        <v/>
      </c>
      <c r="H1001" s="2" t="str">
        <f>_xlfn.XLOOKUP(orders!C1001,customers!$A$1:$A$1001,customers!$G$1:$G$1001,,0)</f>
        <v>United Kingdom</v>
      </c>
      <c r="I1001" t="str">
        <f>INDEX(products!$A$1:$G$49,MATCH(orders!$D1001, products!$A$1:$A$49,0), MATCH(orders!I$1,products!$A$1:$G$1,0))</f>
        <v>Exc</v>
      </c>
      <c r="J1001" t="str">
        <f>INDEX(products!$A$1:$G$49,MATCH(orders!$D1001, products!$A$1:$A$49,0), MATCH(orders!J$1,products!$A$1:$G$1,0))</f>
        <v>M</v>
      </c>
      <c r="K1001" s="4">
        <f>INDEX(products!$A$1:$G$49,MATCH(orders!$D1001, products!$A$1:$A$49,0), MATCH(orders!K$1,products!$A$1:$G$1,0))</f>
        <v>0.2</v>
      </c>
      <c r="L1001" s="5">
        <f>INDEX(products!$A$1:$G$49,MATCH(orders!$D1001, products!$A$1:$A$49,0), MATCH(orders!L$1,products!$A$1:$G$1,0))</f>
        <v>4.125</v>
      </c>
      <c r="M1001" s="5">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N8" sqref="N8"/>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Sales By Country</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Mukti Prabowo</dc:creator>
  <cp:keywords/>
  <dc:description/>
  <cp:lastModifiedBy>Mukti Prabowo</cp:lastModifiedBy>
  <cp:revision/>
  <dcterms:created xsi:type="dcterms:W3CDTF">2022-11-26T09:51:45Z</dcterms:created>
  <dcterms:modified xsi:type="dcterms:W3CDTF">2026-06-16T09:43:09Z</dcterms:modified>
  <cp:category/>
  <cp:contentStatus/>
</cp:coreProperties>
</file>